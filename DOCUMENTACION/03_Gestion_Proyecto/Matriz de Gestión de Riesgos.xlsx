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formación" sheetId="1" r:id="rId4"/>
    <sheet state="visible" name="Información del Documento" sheetId="2" r:id="rId5"/>
    <sheet state="visible" name="Registro de Riesgos" sheetId="3" r:id="rId6"/>
    <sheet state="hidden" name="Matriz" sheetId="4" r:id="rId7"/>
    <sheet state="visible" name="Matriz Impacto y Probabilidad" sheetId="5" r:id="rId8"/>
  </sheets>
  <externalReferences>
    <externalReference r:id="rId9"/>
    <externalReference r:id="rId10"/>
    <externalReference r:id="rId11"/>
    <externalReference r:id="rId12"/>
  </externalReferences>
  <definedNames>
    <definedName name="FechaControl">'[1]Tabla (H)'!$P$6:$P$25</definedName>
    <definedName name="ImpactoRiesgo">'Información'!$I$9:$K$9</definedName>
    <definedName name="ListaFechas">#REF!</definedName>
    <definedName name="ProbabilidadRiesgo">'Información'!$H$6:$H$8</definedName>
    <definedName name="EstadoRiesgos">'Información'!$B$18:$B$21</definedName>
    <definedName name="Criticidad">'Información'!$B$4:$B$6</definedName>
    <definedName localSheetId="3" name="ListaFechas">#REF!</definedName>
    <definedName name="PrioridadRiesgo">'Información'!$H$6:$H$8</definedName>
    <definedName name="Estado">'Información'!$B$9:$B$12</definedName>
    <definedName name="MatrizRiesgo">'Información'!$I$6:$K$8</definedName>
  </definedNames>
  <calcPr/>
  <extLst>
    <ext uri="GoogleSheetsCustomDataVersion2">
      <go:sheetsCustomData xmlns:go="http://customooxmlschemas.google.com/" r:id="rId13" roundtripDataChecksum="ywKPEjv1XD0mXkD1r4yqVNR2q569M2fhDUHQtiKheJk="/>
    </ext>
  </extLst>
</workbook>
</file>

<file path=xl/sharedStrings.xml><?xml version="1.0" encoding="utf-8"?>
<sst xmlns="http://schemas.openxmlformats.org/spreadsheetml/2006/main" count="753" uniqueCount="285">
  <si>
    <t>Ejemplo</t>
  </si>
  <si>
    <t>Tabla de Criticidad</t>
  </si>
  <si>
    <t>Se ve con una lista (ProbabilidadRiesgo)</t>
  </si>
  <si>
    <t>Se ve con una lista (ImpactoRiesgo)</t>
  </si>
  <si>
    <t>Alto</t>
  </si>
  <si>
    <t>Matriz de Riesgos  - Criticidad</t>
  </si>
  <si>
    <t>Criticidad</t>
  </si>
  <si>
    <t>Probabilidad</t>
  </si>
  <si>
    <t>Impacto</t>
  </si>
  <si>
    <t>Medio</t>
  </si>
  <si>
    <t>Alta</t>
  </si>
  <si>
    <t>Bajo</t>
  </si>
  <si>
    <t>Media</t>
  </si>
  <si>
    <t>Baja</t>
  </si>
  <si>
    <t>Estado</t>
  </si>
  <si>
    <t>Abierto</t>
  </si>
  <si>
    <t>Cerrado</t>
  </si>
  <si>
    <t>Eliminado</t>
  </si>
  <si>
    <t>Problema</t>
  </si>
  <si>
    <t>Tratamiento de Riesgos - Acciones</t>
  </si>
  <si>
    <t>Criticidad = Impacto * Probabilidad</t>
  </si>
  <si>
    <t>1, 2 y 3</t>
  </si>
  <si>
    <t>:   Mayor prioridad, atención obligada, acción inmediata</t>
  </si>
  <si>
    <t>4, 5, 6, 7 y 8</t>
  </si>
  <si>
    <t>:  Prioridad media, decidir entre:</t>
  </si>
  <si>
    <t>Plan de mitigación, si relación costo/beneficio es adecuada</t>
  </si>
  <si>
    <t>Estado Riesgos</t>
  </si>
  <si>
    <t>Plan de contingencia, si relación costo/beneficio no es adecuada</t>
  </si>
  <si>
    <t>Pendiente</t>
  </si>
  <si>
    <t>Baja prioridad y monitorear Riesgo</t>
  </si>
  <si>
    <t>Titulo Organización</t>
  </si>
  <si>
    <t>Consejo Regional de Valparaíso (CORE Valparaíso)</t>
  </si>
  <si>
    <t>Nombre proyecto</t>
  </si>
  <si>
    <t>Sistema de Sesiones Plenarias CORE</t>
  </si>
  <si>
    <t>Fecha</t>
  </si>
  <si>
    <t xml:space="preserve">Información del documento </t>
  </si>
  <si>
    <t>Registro y análisis de riesgos del proyecto Sistema de Sesiones Plenarias CORE, considerando la mejora de un sistema existente, incluyendo evaluación de impacto, probabilidad y estrategias de mitigación para asegurar el cumplimiento del proyecto.</t>
  </si>
  <si>
    <t>Nombre Archivo</t>
  </si>
  <si>
    <t>Gestión de Riesgos.XLS</t>
  </si>
  <si>
    <t xml:space="preserve">        </t>
  </si>
  <si>
    <t>Historial Estructura Documento</t>
  </si>
  <si>
    <t>Autor / Responsable</t>
  </si>
  <si>
    <t>Versión</t>
  </si>
  <si>
    <t>Descripción</t>
  </si>
  <si>
    <t>Equipo de proyecto</t>
  </si>
  <si>
    <t>1.0</t>
  </si>
  <si>
    <t>Creación inicial del registro de riesgos</t>
  </si>
  <si>
    <t>Historial Contenido Documento y Bitácora</t>
  </si>
  <si>
    <t>Evelyn Parra</t>
  </si>
  <si>
    <t>1.1</t>
  </si>
  <si>
    <t>Actualización e incorporación de nuevos riesgos del proyecto</t>
  </si>
  <si>
    <t>Kiara Gatica</t>
  </si>
  <si>
    <t>1.2</t>
  </si>
  <si>
    <t>Ajuste de impacto y probabilidad de los riesgos</t>
  </si>
  <si>
    <t>1.3</t>
  </si>
  <si>
    <t>Definición de estrategias de mitigación y responsables</t>
  </si>
  <si>
    <t>Clasificación de riesgos según tipo y categoría</t>
  </si>
  <si>
    <t>Gestion de Riesgos</t>
  </si>
  <si>
    <t>ID</t>
  </si>
  <si>
    <t>Fecha Creación</t>
  </si>
  <si>
    <t>Tipo</t>
  </si>
  <si>
    <t>Riesgo (Evento)</t>
  </si>
  <si>
    <t>Causa</t>
  </si>
  <si>
    <t>Efecto</t>
  </si>
  <si>
    <t>Probabilidad Ocurrencia</t>
  </si>
  <si>
    <t>Respuesta (Evitar, Transferir, Mitigar)</t>
  </si>
  <si>
    <t>Responsable</t>
  </si>
  <si>
    <t>Fecha de Compromiso</t>
  </si>
  <si>
    <t>Comentarios</t>
  </si>
  <si>
    <t>Técnico</t>
  </si>
  <si>
    <t>Dificultad para acceder a información o validación por parte del CORE</t>
  </si>
  <si>
    <t>Dependencia de actores externos</t>
  </si>
  <si>
    <t>Alcance</t>
  </si>
  <si>
    <t>Mitigar: Coordinar reuniones con anticipación y usar información pública</t>
  </si>
  <si>
    <t>Equipo de Desarrollo</t>
  </si>
  <si>
    <t>Coordinación inicial en proceso con actores del CORE.</t>
  </si>
  <si>
    <t>Equipo de Trabajo</t>
  </si>
  <si>
    <t>Conocimiento técnico medio en PHP y MariaDB</t>
  </si>
  <si>
    <t>Falta de experiencia previa</t>
  </si>
  <si>
    <t>Plazo</t>
  </si>
  <si>
    <t>Mitigar: Capacitación inicial y apoyo entre integrantes</t>
  </si>
  <si>
    <t>Se planifica capacitación interna para nivelar conocimientos.</t>
  </si>
  <si>
    <t>Poca disponibilidad del equipo</t>
  </si>
  <si>
    <t>Compromisos laborales y personales</t>
  </si>
  <si>
    <t>Mitigar: Planificación semanal y seguimiento constante</t>
  </si>
  <si>
    <t>Se ajustan horarios para compatibilizar disponibilidad del equipo.</t>
  </si>
  <si>
    <t>Requerimientos incompletos o mal definidos</t>
  </si>
  <si>
    <t>Falta de levantamiento claro</t>
  </si>
  <si>
    <t>Mitigar: Validación constante con el cliente</t>
  </si>
  <si>
    <t>Validación de requerimientos en proceso con cliente.</t>
  </si>
  <si>
    <t>Clientes y Stakeholders</t>
  </si>
  <si>
    <t>Comprensión incompleta del sistema del CORE</t>
  </si>
  <si>
    <t>Documentación limitada</t>
  </si>
  <si>
    <t>Mitigar: Revisar sistema existente y validar con cliente</t>
  </si>
  <si>
    <t>Revisión del sistema actual en curso.</t>
  </si>
  <si>
    <t>Errores al modificar funcionalidades existentes</t>
  </si>
  <si>
    <t>Intervención sobre código previo</t>
  </si>
  <si>
    <t>Calidad</t>
  </si>
  <si>
    <t>Muy Alto</t>
  </si>
  <si>
    <t>Mitigar: Pruebas antes y después de cambios</t>
  </si>
  <si>
    <t>Pruebas unitarias consideradas antes de cada cambio.</t>
  </si>
  <si>
    <t>Funcionalidades que no cumplen expectativas</t>
  </si>
  <si>
    <t>Poca validación con cliente</t>
  </si>
  <si>
    <t>Mitigar: Reuniones periódicas con el CORE</t>
  </si>
  <si>
    <t>Product Owner</t>
  </si>
  <si>
    <t>Reuniones periódicas agendadas con el cliente.</t>
  </si>
  <si>
    <t>Detección tardía de errores</t>
  </si>
  <si>
    <t>Falta de testing continuo</t>
  </si>
  <si>
    <t>Mitigar: Testing desde fases tempranas</t>
  </si>
  <si>
    <t>Se incorpora testing continuo en el desarrollo.</t>
  </si>
  <si>
    <t>Cambios de requerimientos durante el desarrollo</t>
  </si>
  <si>
    <t>Nuevas necesidades del CORE</t>
  </si>
  <si>
    <t>Mitigar: Control de cambios formal</t>
  </si>
  <si>
    <t>Control de cambios en proceso de implementación.</t>
  </si>
  <si>
    <t>Retraso por falta de accesos al sistema</t>
  </si>
  <si>
    <t>Dependencia de credenciales externas</t>
  </si>
  <si>
    <t>Mitigar: Solicitar accesos desde inicio</t>
  </si>
  <si>
    <t>Solicitud de accesos enviada a equipo del CORE.</t>
  </si>
  <si>
    <t>Sobrecarga de tareas</t>
  </si>
  <si>
    <t>Mala distribución del trabajo</t>
  </si>
  <si>
    <t>Mitigar: Reasignación y seguimiento</t>
  </si>
  <si>
    <t>Scrum Master</t>
  </si>
  <si>
    <t>Se revisa distribución de tareas en cada sprint.</t>
  </si>
  <si>
    <t>Incompatibilidad por case sensitivity</t>
  </si>
  <si>
    <t>Diferencias entre Windows y Linux</t>
  </si>
  <si>
    <t>Mitigar: Estandarizar nombres en minúsculas</t>
  </si>
  <si>
    <t>Estándar de nombres definido para evitar errores.</t>
  </si>
  <si>
    <t>Dificultad en integración con API de firma avanzada</t>
  </si>
  <si>
    <t>Complejidad de servicio externo</t>
  </si>
  <si>
    <t>Mitigar: Pruebas tempranas de integración</t>
  </si>
  <si>
    <t>Integración en fase de pruebas iniciales.</t>
  </si>
  <si>
    <t>Error en carga de documentos (actas)</t>
  </si>
  <si>
    <t>Configuración incorrecta en servidor</t>
  </si>
  <si>
    <t>Mitigar: Validar configuración antes de despliegue</t>
  </si>
  <si>
    <t>Configuración del servidor en revisión.</t>
  </si>
  <si>
    <t>Baja usabilidad en interfaz de votación</t>
  </si>
  <si>
    <t>Falta de pruebas con usuarios</t>
  </si>
  <si>
    <t>Mitigar: Pruebas de usabilidad</t>
  </si>
  <si>
    <t>Se planifican pruebas con usuarios finales.</t>
  </si>
  <si>
    <t>Fallas en sesión en vivo</t>
  </si>
  <si>
    <t>Problemas de servidor</t>
  </si>
  <si>
    <t>Mitigar: Validar estabilidad del sistema</t>
  </si>
  <si>
    <t>Evaluación de estabilidad del sistema en progreso.</t>
  </si>
  <si>
    <t>Falta de coordinación en entregas</t>
  </si>
  <si>
    <t>Reuniones deficientes</t>
  </si>
  <si>
    <t>Mitigar: Calendario de reuniones</t>
  </si>
  <si>
    <t>Calendario de reuniones definido semanalmente.</t>
  </si>
  <si>
    <t>Falta de control de versiones</t>
  </si>
  <si>
    <t>Mal uso de repositorio</t>
  </si>
  <si>
    <t>Mitigar: Uso de GitHub con ramas</t>
  </si>
  <si>
    <t>Uso de repositorio controlado implementado.</t>
  </si>
  <si>
    <t>Seguridad</t>
  </si>
  <si>
    <t>Acceso no autorizado por fallo de sesión</t>
  </si>
  <si>
    <t>Mala gestión de sesiones</t>
  </si>
  <si>
    <t>Mitigar: Control de sesión y expiración</t>
  </si>
  <si>
    <t>Validación de sesiones activas en desarrollo.</t>
  </si>
  <si>
    <t>Error en generación de actas PDF</t>
  </si>
  <si>
    <t>Dependencias faltantes</t>
  </si>
  <si>
    <t>Mitigar: Validar librerías en servidor</t>
  </si>
  <si>
    <t>Librerías en proceso de validación.</t>
  </si>
  <si>
    <t>Datos incorrectos en votaciones</t>
  </si>
  <si>
    <t>Falta de validaciones</t>
  </si>
  <si>
    <t>Mitigar: Implementar validaciones</t>
  </si>
  <si>
    <t>Validaciones en desarrollo para evitar inconsistencias.</t>
  </si>
  <si>
    <t>Calendario</t>
  </si>
  <si>
    <t>Retraso en desarrollo del módulo de pleno</t>
  </si>
  <si>
    <t>Falta de planificación inicial</t>
  </si>
  <si>
    <t>Mitigar: Definir tareas y roles claramente</t>
  </si>
  <si>
    <t>Planificación inicial en ajuste según avance.</t>
  </si>
  <si>
    <t>Error en conexión con base de datos</t>
  </si>
  <si>
    <t>Credenciales incorrectas</t>
  </si>
  <si>
    <t>Mitigar: Validar conexión antes de despliegue</t>
  </si>
  <si>
    <t>Conexión a base de datos en etapa de pruebas.</t>
  </si>
  <si>
    <t>Acceso indebido al sistema</t>
  </si>
  <si>
    <t>Falta de control de roles</t>
  </si>
  <si>
    <t>Mitigar: Implementar control de acceso</t>
  </si>
  <si>
    <t>Definición de roles y permisos en implementación.</t>
  </si>
  <si>
    <t>Fuga de información de votaciones</t>
  </si>
  <si>
    <t>Falta de control de datos</t>
  </si>
  <si>
    <t>Mitigar: Cifrado y control de accesos</t>
  </si>
  <si>
    <t>Seguridad reforzada en almacenamiento de datos.</t>
  </si>
  <si>
    <t>Costos</t>
  </si>
  <si>
    <t>Retrabajo por errores críticos</t>
  </si>
  <si>
    <t>Falta de validación temprana</t>
  </si>
  <si>
    <t>Costo</t>
  </si>
  <si>
    <t>Mitigar: Validaciones parciales</t>
  </si>
  <si>
    <t>Seguimiento de errores críticos en curso.</t>
  </si>
  <si>
    <t>Error en votación en tiempo real</t>
  </si>
  <si>
    <t>Problemas de sincronización</t>
  </si>
  <si>
    <t>Mitigar: Pruebas de concurrencia</t>
  </si>
  <si>
    <t>Pruebas de concurrencia en planificación.</t>
  </si>
  <si>
    <t>Retraso en pruebas finales</t>
  </si>
  <si>
    <t>Falta de tiempo de testing</t>
  </si>
  <si>
    <t>Mitigar: Reservar tiempo para pruebas</t>
  </si>
  <si>
    <t>Etapa de testing considerada en cronograma.</t>
  </si>
  <si>
    <t>Dependencia de un integrante clave</t>
  </si>
  <si>
    <t>Conocimiento no compartido</t>
  </si>
  <si>
    <t>Mitigar: Documentar y compartir conocimiento</t>
  </si>
  <si>
    <t>Documentación interna en desarrollo.</t>
  </si>
  <si>
    <t>Error en numeración de sesiones</t>
  </si>
  <si>
    <t>Lógica incorrecta en BD</t>
  </si>
  <si>
    <t>Mitigar: Validar correlatividad</t>
  </si>
  <si>
    <t>Validación de numeración automática en proceso.</t>
  </si>
  <si>
    <t>Error en cierre automático de votación</t>
  </si>
  <si>
    <t>Falla en lógica de temporización</t>
  </si>
  <si>
    <t>Mitigar: Validar tiempos y eventos en pruebas controladas</t>
  </si>
  <si>
    <t>Cierre debe coincidir con reglamento del pleno</t>
  </si>
  <si>
    <t>Manipulación de resultados de votación</t>
  </si>
  <si>
    <t>Falta de validación de integridad</t>
  </si>
  <si>
    <t>Mitigar: Implementar validaciones y auditoría de datos</t>
  </si>
  <si>
    <t>Impacta directamente la transparencia del sistema</t>
  </si>
  <si>
    <t>Falta de comunicación en pruebas en vivo</t>
  </si>
  <si>
    <t>Ausencia de canal definido</t>
  </si>
  <si>
    <t>Mitigar: Definir canal oficial durante pruebas</t>
  </si>
  <si>
    <t>Clave en simulaciones de sesión</t>
  </si>
  <si>
    <t>Retraso en ajustes finales</t>
  </si>
  <si>
    <t>Acumulación de tareas al cierre</t>
  </si>
  <si>
    <t>Mitigar: Distribuir ajustes en cada sprint</t>
  </si>
  <si>
    <t>Evita sobrecarga final</t>
  </si>
  <si>
    <t>Inconsistencia entre asistencia y votación</t>
  </si>
  <si>
    <t>Desincronización de módulos</t>
  </si>
  <si>
    <t>Mitigar: Validar integridad entre módulos</t>
  </si>
  <si>
    <t>Afecta generación de actas</t>
  </si>
  <si>
    <t>Retrabajo en generación de actas</t>
  </si>
  <si>
    <t>Errores en lógica de actas</t>
  </si>
  <si>
    <t>Mitigar: Validación temprana de actas</t>
  </si>
  <si>
    <t>Aumenta carga del equipo</t>
  </si>
  <si>
    <t>Error en almacenamiento de historial</t>
  </si>
  <si>
    <t>Falla en base de datos</t>
  </si>
  <si>
    <t>Mitigar: Validar persistencia y respaldos</t>
  </si>
  <si>
    <t>Histórico requerido por normativa</t>
  </si>
  <si>
    <t>Falta de trazabilidad de acciones</t>
  </si>
  <si>
    <t>No existen logs suficientes</t>
  </si>
  <si>
    <t>Mitigar: Implementar logs y auditoría</t>
  </si>
  <si>
    <t>Necesario para auditorías del CORE</t>
  </si>
  <si>
    <t>Roles poco claros en pruebas en vivo</t>
  </si>
  <si>
    <t>Falta de asignación previa</t>
  </si>
  <si>
    <t>Mitigar: Definir roles antes de pruebas</t>
  </si>
  <si>
    <t>Mejora coordinación del equipo</t>
  </si>
  <si>
    <t>Error en exportación final de actas</t>
  </si>
  <si>
    <t>Falla en formato PDF</t>
  </si>
  <si>
    <t>Mitigar: Validar formatos de salida</t>
  </si>
  <si>
    <t>Documento final del sistema</t>
  </si>
  <si>
    <t>Lentitud en sistema durante votación</t>
  </si>
  <si>
    <t>Consultas no optimizadas</t>
  </si>
  <si>
    <t>Mitigar: Optimizar consultas y recursos</t>
  </si>
  <si>
    <t>Impacta experiencia en vivo</t>
  </si>
  <si>
    <t>Sesiones activas sin cierre automático</t>
  </si>
  <si>
    <t>Falta de expiración de sesión</t>
  </si>
  <si>
    <t>Mitigar: Implementar timeout de sesión</t>
  </si>
  <si>
    <t>Riesgo de acceso indebido</t>
  </si>
  <si>
    <t>Retraso en integración de módulos</t>
  </si>
  <si>
    <t>Dependencias entre funcionalidades</t>
  </si>
  <si>
    <t>Mitigar: Integración progresiva</t>
  </si>
  <si>
    <t>Módulos deben integrarse correctamente</t>
  </si>
  <si>
    <t>Aumento de esfuerzo por cambios tardíos</t>
  </si>
  <si>
    <t>Cambios fuera de sprint</t>
  </si>
  <si>
    <t>Mitigar: Controlar cambios y aprobaciones</t>
  </si>
  <si>
    <t>Afecta planificación</t>
  </si>
  <si>
    <t>Error en visualización de resultados</t>
  </si>
  <si>
    <t>Falla en frontend</t>
  </si>
  <si>
    <t>Mitigar: Validar vistas en distintos escenarios</t>
  </si>
  <si>
    <t>Vista usada en sala de sesiones</t>
  </si>
  <si>
    <t>Falta de documentación técnica</t>
  </si>
  <si>
    <t>No registrar avances</t>
  </si>
  <si>
    <t>Mitigar: Documentar código y procesos</t>
  </si>
  <si>
    <t>Facilita mantenimiento</t>
  </si>
  <si>
    <t>Error en registro de asistencia</t>
  </si>
  <si>
    <t>Falla en validación de usuarios</t>
  </si>
  <si>
    <t>Mitigar: Validar datos de asistencia</t>
  </si>
  <si>
    <t>Base para votaciones válidas</t>
  </si>
  <si>
    <t>Uso compartido de cuentas</t>
  </si>
  <si>
    <t>Falta de control de acceso individual</t>
  </si>
  <si>
    <t>Mitigar: Control de autenticación individual</t>
  </si>
  <si>
    <t>Cada consejero debe tener acceso único</t>
  </si>
  <si>
    <t>Falta de tiempo para pruebas integrales</t>
  </si>
  <si>
    <t>Mala planificación de QA</t>
  </si>
  <si>
    <t>Mitigar: Definir fase exclusiva de pruebas</t>
  </si>
  <si>
    <t>Etapa crítica antes de entrega</t>
  </si>
  <si>
    <t>Error en actualización en tiempo real</t>
  </si>
  <si>
    <t>Falla en refresco de datos</t>
  </si>
  <si>
    <t>Mitigar: Validar actualización dinámica</t>
  </si>
  <si>
    <t>Clave en sesiones en vivo</t>
  </si>
  <si>
    <t>Muy Bajo</t>
  </si>
  <si>
    <t xml:space="preserve">Bajo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</si>
</sst>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"/>
    <numFmt numFmtId="166" formatCode="d.m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6.0"/>
      <color theme="1"/>
      <name val="Arial"/>
    </font>
    <font>
      <b/>
      <sz val="8.0"/>
      <color theme="1"/>
      <name val="Arial"/>
    </font>
    <font>
      <sz val="14.0"/>
      <color rgb="FF000066"/>
      <name val="Calibri"/>
    </font>
    <font>
      <sz val="11.0"/>
      <color theme="1"/>
      <name val="Arial"/>
    </font>
    <font>
      <color theme="1"/>
      <name val="Arial"/>
    </font>
    <font>
      <b/>
      <color rgb="FFFFFFFF"/>
      <name val="Arial"/>
    </font>
    <font>
      <sz val="11.0"/>
      <color rgb="FF595959"/>
      <name val="Calibri"/>
    </font>
    <font>
      <sz val="9.0"/>
      <color rgb="FF595959"/>
      <name val="Arial"/>
    </font>
    <font>
      <color rgb="FF595959"/>
      <name val="Arial"/>
    </font>
    <font>
      <b/>
      <sz val="9.0"/>
      <color rgb="FFFFFFFF"/>
      <name val="Arial"/>
    </font>
    <font>
      <b/>
      <color theme="1"/>
      <name val="Calibri"/>
    </font>
    <font>
      <color rgb="FF595959"/>
      <name val="Calibri"/>
    </font>
    <font>
      <sz val="10.0"/>
      <color rgb="FF595959"/>
      <name val="Arial"/>
    </font>
    <font>
      <sz val="20.0"/>
      <color rgb="FF000000"/>
      <name val="Calibri"/>
    </font>
    <font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10.0"/>
      <color rgb="FF000000"/>
      <name val="Arial"/>
    </font>
    <font>
      <sz val="10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66"/>
        <bgColor rgb="FFFFFF66"/>
      </patternFill>
    </fill>
    <fill>
      <patternFill patternType="solid">
        <fgColor rgb="FF9EFF6D"/>
        <bgColor rgb="FF9EFF6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1F497D"/>
        <bgColor rgb="FF1F497D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26B0A"/>
        <bgColor rgb="FFE26B0A"/>
      </patternFill>
    </fill>
    <fill>
      <patternFill patternType="solid">
        <fgColor rgb="FF99FF33"/>
        <bgColor rgb="FF99FF33"/>
      </patternFill>
    </fill>
  </fills>
  <borders count="5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theme="1"/>
      </left>
      <top style="medium">
        <color theme="1"/>
      </top>
      <bottom style="thin">
        <color theme="1"/>
      </bottom>
    </border>
    <border>
      <top style="medium">
        <color theme="1"/>
      </top>
      <bottom style="thin">
        <color theme="1"/>
      </bottom>
    </border>
    <border>
      <right style="medium">
        <color theme="1"/>
      </right>
      <top style="medium">
        <color theme="1"/>
      </top>
      <bottom style="thin">
        <color theme="1"/>
      </bottom>
    </border>
    <border>
      <left style="medium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n">
        <color rgb="FF000080"/>
      </left>
      <top style="thin">
        <color rgb="FF000080"/>
      </top>
      <bottom style="thin">
        <color rgb="FF000080"/>
      </bottom>
    </border>
    <border>
      <top style="thin">
        <color rgb="FF000080"/>
      </top>
      <bottom style="thin">
        <color rgb="FF000080"/>
      </bottom>
    </border>
    <border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Font="1"/>
    <xf borderId="0" fillId="0" fontId="1" numFmtId="0" xfId="0" applyAlignment="1" applyFont="1">
      <alignment shrinkToFit="0" wrapText="1"/>
    </xf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5" fillId="3" fontId="5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2" fontId="1" numFmtId="0" xfId="0" applyBorder="1" applyFont="1"/>
    <xf borderId="9" fillId="4" fontId="1" numFmtId="0" xfId="0" applyBorder="1" applyFill="1" applyFont="1"/>
    <xf borderId="10" fillId="4" fontId="1" numFmtId="0" xfId="0" applyBorder="1" applyFont="1"/>
    <xf borderId="11" fillId="5" fontId="5" numFmtId="0" xfId="0" applyAlignment="1" applyBorder="1" applyFill="1" applyFont="1">
      <alignment horizontal="center" textRotation="90" vertical="center"/>
    </xf>
    <xf borderId="12" fillId="3" fontId="6" numFmtId="0" xfId="0" applyAlignment="1" applyBorder="1" applyFont="1">
      <alignment horizontal="center" vertical="center"/>
    </xf>
    <xf borderId="13" fillId="5" fontId="4" numFmtId="0" xfId="0" applyBorder="1" applyFont="1"/>
    <xf borderId="14" fillId="5" fontId="4" numFmtId="0" xfId="0" applyBorder="1" applyFont="1"/>
    <xf borderId="3" fillId="2" fontId="1" numFmtId="0" xfId="0" applyAlignment="1" applyBorder="1" applyFont="1">
      <alignment horizontal="center"/>
    </xf>
    <xf borderId="15" fillId="0" fontId="1" numFmtId="0" xfId="0" applyBorder="1" applyFont="1"/>
    <xf borderId="4" fillId="0" fontId="1" numFmtId="0" xfId="0" applyBorder="1" applyFont="1"/>
    <xf borderId="16" fillId="0" fontId="1" numFmtId="0" xfId="0" applyBorder="1" applyFont="1"/>
    <xf borderId="17" fillId="0" fontId="1" numFmtId="0" xfId="0" applyAlignment="1" applyBorder="1" applyFont="1">
      <alignment horizontal="center"/>
    </xf>
    <xf borderId="18" fillId="0" fontId="3" numFmtId="0" xfId="0" applyBorder="1" applyFont="1"/>
    <xf borderId="19" fillId="5" fontId="6" numFmtId="0" xfId="0" applyAlignment="1" applyBorder="1" applyFont="1">
      <alignment horizontal="center" vertical="center"/>
    </xf>
    <xf borderId="20" fillId="6" fontId="7" numFmtId="0" xfId="0" applyAlignment="1" applyBorder="1" applyFill="1" applyFont="1">
      <alignment horizontal="center" vertical="center"/>
    </xf>
    <xf borderId="15" fillId="7" fontId="7" numFmtId="0" xfId="0" applyAlignment="1" applyBorder="1" applyFill="1" applyFont="1">
      <alignment horizontal="center" vertical="center"/>
    </xf>
    <xf borderId="20" fillId="2" fontId="7" numFmtId="0" xfId="0" applyAlignment="1" applyBorder="1" applyFont="1">
      <alignment horizontal="center" vertical="center"/>
    </xf>
    <xf borderId="15" fillId="6" fontId="7" numFmtId="0" xfId="0" applyAlignment="1" applyBorder="1" applyFont="1">
      <alignment horizontal="center" vertical="center"/>
    </xf>
    <xf borderId="21" fillId="0" fontId="1" numFmtId="0" xfId="0" applyBorder="1" applyFont="1"/>
    <xf borderId="17" fillId="0" fontId="1" numFmtId="0" xfId="0" applyBorder="1" applyFont="1"/>
    <xf borderId="22" fillId="2" fontId="2" numFmtId="0" xfId="0" applyAlignment="1" applyBorder="1" applyFont="1">
      <alignment horizontal="center" vertical="center"/>
    </xf>
    <xf borderId="23" fillId="0" fontId="3" numFmtId="0" xfId="0" applyBorder="1" applyFont="1"/>
    <xf borderId="24" fillId="8" fontId="7" numFmtId="0" xfId="0" applyAlignment="1" applyBorder="1" applyFill="1" applyFont="1">
      <alignment horizontal="center" vertical="center"/>
    </xf>
    <xf borderId="25" fillId="2" fontId="7" numFmtId="0" xfId="0" applyAlignment="1" applyBorder="1" applyFont="1">
      <alignment horizontal="center" vertical="center"/>
    </xf>
    <xf borderId="25" fillId="6" fontId="7" numFmtId="0" xfId="0" applyAlignment="1" applyBorder="1" applyFont="1">
      <alignment horizontal="center" vertical="center"/>
    </xf>
    <xf borderId="8" fillId="0" fontId="1" numFmtId="0" xfId="0" applyBorder="1" applyFont="1"/>
    <xf borderId="10" fillId="0" fontId="1" numFmtId="0" xfId="0" applyAlignment="1" applyBorder="1" applyFont="1">
      <alignment horizontal="center"/>
    </xf>
    <xf borderId="19" fillId="3" fontId="6" numFmtId="0" xfId="0" applyAlignment="1" applyBorder="1" applyFont="1">
      <alignment horizontal="center" vertical="center"/>
    </xf>
    <xf borderId="26" fillId="5" fontId="4" numFmtId="0" xfId="0" applyBorder="1" applyFont="1"/>
    <xf borderId="27" fillId="5" fontId="4" numFmtId="0" xfId="0" applyBorder="1" applyFont="1"/>
    <xf borderId="28" fillId="5" fontId="5" numFmtId="0" xfId="0" applyAlignment="1" applyBorder="1" applyFont="1">
      <alignment horizontal="center" vertical="center"/>
    </xf>
    <xf borderId="29" fillId="0" fontId="3" numFmtId="0" xfId="0" applyBorder="1" applyFont="1"/>
    <xf borderId="30" fillId="5" fontId="4" numFmtId="0" xfId="0" applyBorder="1" applyFont="1"/>
    <xf borderId="31" fillId="3" fontId="2" numFmtId="0" xfId="0" applyAlignment="1" applyBorder="1" applyFont="1">
      <alignment horizontal="center" vertical="center"/>
    </xf>
    <xf borderId="32" fillId="0" fontId="3" numFmtId="0" xfId="0" applyBorder="1" applyFont="1"/>
    <xf borderId="33" fillId="0" fontId="3" numFmtId="0" xfId="0" applyBorder="1" applyFont="1"/>
    <xf borderId="34" fillId="0" fontId="2" numFmtId="0" xfId="0" applyAlignment="1" applyBorder="1" applyFont="1">
      <alignment horizontal="left" vertical="top"/>
    </xf>
    <xf borderId="35" fillId="0" fontId="3" numFmtId="0" xfId="0" applyBorder="1" applyFont="1"/>
    <xf borderId="36" fillId="0" fontId="3" numFmtId="0" xfId="0" applyBorder="1" applyFont="1"/>
    <xf borderId="37" fillId="0" fontId="8" numFmtId="0" xfId="0" applyAlignment="1" applyBorder="1" applyFont="1">
      <alignment horizontal="center" vertical="center"/>
    </xf>
    <xf borderId="38" fillId="0" fontId="4" numFmtId="0" xfId="0" applyAlignment="1" applyBorder="1" applyFont="1">
      <alignment horizontal="left" vertical="top"/>
    </xf>
    <xf borderId="38" fillId="0" fontId="4" numFmtId="0" xfId="0" applyAlignment="1" applyBorder="1" applyFont="1">
      <alignment horizontal="left" shrinkToFit="0" vertical="top" wrapText="1"/>
    </xf>
    <xf borderId="39" fillId="0" fontId="8" numFmtId="49" xfId="0" applyAlignment="1" applyBorder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9" numFmtId="164" xfId="0" applyAlignment="1" applyFont="1" applyNumberFormat="1">
      <alignment vertical="bottom"/>
    </xf>
    <xf borderId="0" fillId="0" fontId="10" numFmtId="165" xfId="0" applyAlignment="1" applyFont="1" applyNumberFormat="1">
      <alignment horizontal="left" vertical="bottom"/>
    </xf>
    <xf borderId="40" fillId="9" fontId="12" numFmtId="0" xfId="0" applyAlignment="1" applyBorder="1" applyFill="1" applyFont="1">
      <alignment shrinkToFit="0" wrapText="1"/>
    </xf>
    <xf borderId="41" fillId="0" fontId="3" numFmtId="0" xfId="0" applyBorder="1" applyFont="1"/>
    <xf borderId="42" fillId="0" fontId="3" numFmtId="0" xfId="0" applyBorder="1" applyFont="1"/>
    <xf borderId="40" fillId="0" fontId="13" numFmtId="0" xfId="0" applyAlignment="1" applyBorder="1" applyFont="1">
      <alignment readingOrder="0" shrinkToFit="0" wrapText="1"/>
    </xf>
    <xf borderId="40" fillId="0" fontId="14" numFmtId="0" xfId="0" applyAlignment="1" applyBorder="1" applyFont="1">
      <alignment readingOrder="0" shrinkToFit="0" wrapText="1"/>
    </xf>
    <xf borderId="40" fillId="0" fontId="15" numFmtId="164" xfId="0" applyAlignment="1" applyBorder="1" applyFont="1" applyNumberFormat="1">
      <alignment shrinkToFit="0" wrapText="1"/>
    </xf>
    <xf borderId="40" fillId="9" fontId="16" numFmtId="164" xfId="0" applyAlignment="1" applyBorder="1" applyFont="1" applyNumberFormat="1">
      <alignment horizontal="center" shrinkToFit="0" wrapText="1"/>
    </xf>
    <xf borderId="43" fillId="10" fontId="17" numFmtId="0" xfId="0" applyAlignment="1" applyBorder="1" applyFill="1" applyFont="1">
      <alignment horizontal="center" shrinkToFit="0" wrapText="1"/>
    </xf>
    <xf borderId="43" fillId="0" fontId="18" numFmtId="164" xfId="0" applyAlignment="1" applyBorder="1" applyFont="1" applyNumberFormat="1">
      <alignment horizontal="center" shrinkToFit="0" wrapText="1"/>
    </xf>
    <xf borderId="43" fillId="0" fontId="18" numFmtId="0" xfId="0" applyAlignment="1" applyBorder="1" applyFont="1">
      <alignment horizontal="center" shrinkToFit="0" wrapText="1"/>
    </xf>
    <xf borderId="43" fillId="0" fontId="18" numFmtId="0" xfId="0" applyAlignment="1" applyBorder="1" applyFont="1">
      <alignment shrinkToFit="0" wrapText="1"/>
    </xf>
    <xf borderId="0" fillId="0" fontId="10" numFmtId="164" xfId="0" applyFont="1" applyNumberFormat="1"/>
    <xf borderId="0" fillId="0" fontId="10" numFmtId="0" xfId="0" applyFont="1"/>
    <xf borderId="40" fillId="9" fontId="12" numFmtId="164" xfId="0" applyAlignment="1" applyBorder="1" applyFont="1" applyNumberFormat="1">
      <alignment horizontal="center" shrinkToFit="0" wrapText="1"/>
    </xf>
    <xf borderId="43" fillId="10" fontId="17" numFmtId="164" xfId="0" applyAlignment="1" applyBorder="1" applyFont="1" applyNumberFormat="1">
      <alignment horizontal="center" shrinkToFit="0" wrapText="1"/>
    </xf>
    <xf borderId="43" fillId="10" fontId="17" numFmtId="166" xfId="0" applyAlignment="1" applyBorder="1" applyFont="1" applyNumberFormat="1">
      <alignment horizontal="center" shrinkToFit="0" wrapText="1"/>
    </xf>
    <xf borderId="43" fillId="0" fontId="18" numFmtId="164" xfId="0" applyAlignment="1" applyBorder="1" applyFont="1" applyNumberFormat="1">
      <alignment horizontal="center" readingOrder="0" shrinkToFit="0" wrapText="1"/>
    </xf>
    <xf borderId="43" fillId="0" fontId="18" numFmtId="0" xfId="0" applyAlignment="1" applyBorder="1" applyFont="1">
      <alignment horizontal="center" readingOrder="0" shrinkToFit="0" wrapText="1"/>
    </xf>
    <xf borderId="43" fillId="0" fontId="18" numFmtId="166" xfId="0" applyAlignment="1" applyBorder="1" applyFont="1" applyNumberFormat="1">
      <alignment horizontal="center" shrinkToFit="0" wrapText="1"/>
    </xf>
    <xf borderId="0" fillId="0" fontId="19" numFmtId="0" xfId="0" applyAlignment="1" applyFont="1">
      <alignment readingOrder="0" vertical="bottom"/>
    </xf>
    <xf borderId="43" fillId="0" fontId="10" numFmtId="164" xfId="0" applyBorder="1" applyFont="1" applyNumberFormat="1"/>
    <xf borderId="43" fillId="0" fontId="10" numFmtId="0" xfId="0" applyBorder="1" applyFont="1"/>
    <xf borderId="0" fillId="0" fontId="10" numFmtId="0" xfId="0" applyAlignment="1" applyFont="1">
      <alignment vertical="bottom"/>
    </xf>
    <xf borderId="44" fillId="11" fontId="20" numFmtId="0" xfId="0" applyAlignment="1" applyBorder="1" applyFill="1" applyFont="1">
      <alignment horizontal="center" readingOrder="0" vertical="center"/>
    </xf>
    <xf borderId="45" fillId="0" fontId="3" numFmtId="0" xfId="0" applyBorder="1" applyFont="1"/>
    <xf borderId="15" fillId="12" fontId="1" numFmtId="0" xfId="0" applyAlignment="1" applyBorder="1" applyFill="1" applyFont="1">
      <alignment horizontal="center" shrinkToFit="0" vertical="center" wrapText="1"/>
    </xf>
    <xf borderId="15" fillId="12" fontId="4" numFmtId="0" xfId="0" applyAlignment="1" applyBorder="1" applyFont="1">
      <alignment horizontal="center" shrinkToFit="0" vertical="center" wrapText="1"/>
    </xf>
    <xf borderId="15" fillId="12" fontId="1" numFmtId="0" xfId="0" applyAlignment="1" applyBorder="1" applyFont="1">
      <alignment horizontal="left" shrinkToFit="0" vertical="center" wrapText="1"/>
    </xf>
    <xf borderId="15" fillId="13" fontId="4" numFmtId="0" xfId="0" applyAlignment="1" applyBorder="1" applyFill="1" applyFont="1">
      <alignment horizontal="center" readingOrder="0" shrinkToFit="0" vertical="center" wrapText="1"/>
    </xf>
    <xf borderId="15" fillId="0" fontId="4" numFmtId="164" xfId="0" applyAlignment="1" applyBorder="1" applyFont="1" applyNumberFormat="1">
      <alignment horizontal="center" readingOrder="0" shrinkToFit="0" vertical="center" wrapText="1"/>
    </xf>
    <xf borderId="15" fillId="13" fontId="4" numFmtId="0" xfId="0" applyAlignment="1" applyBorder="1" applyFont="1">
      <alignment horizontal="left" readingOrder="0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left" readingOrder="0" shrinkToFit="0" vertical="center" wrapText="1"/>
    </xf>
    <xf borderId="15" fillId="0" fontId="21" numFmtId="0" xfId="0" applyAlignment="1" applyBorder="1" applyFont="1">
      <alignment horizontal="left" readingOrder="0" vertical="center"/>
    </xf>
    <xf borderId="0" fillId="0" fontId="22" numFmtId="0" xfId="0" applyAlignment="1" applyFont="1">
      <alignment readingOrder="0"/>
    </xf>
    <xf borderId="15" fillId="5" fontId="4" numFmtId="0" xfId="0" applyAlignment="1" applyBorder="1" applyFont="1">
      <alignment horizontal="center" readingOrder="0" shrinkToFit="0" vertical="center" wrapText="1"/>
    </xf>
    <xf borderId="15" fillId="0" fontId="4" numFmtId="164" xfId="0" applyAlignment="1" applyBorder="1" applyFont="1" applyNumberFormat="1">
      <alignment horizontal="center" shrinkToFit="0" vertical="center" wrapText="1"/>
    </xf>
    <xf borderId="15" fillId="0" fontId="21" numFmtId="0" xfId="0" applyAlignment="1" applyBorder="1" applyFont="1">
      <alignment readingOrder="0" vertical="center"/>
    </xf>
    <xf borderId="15" fillId="13" fontId="4" numFmtId="0" xfId="0" applyAlignment="1" applyBorder="1" applyFont="1">
      <alignment horizontal="center" shrinkToFit="0" vertical="center" wrapText="1"/>
    </xf>
    <xf borderId="15" fillId="13" fontId="4" numFmtId="0" xfId="0" applyAlignment="1" applyBorder="1" applyFont="1">
      <alignment horizontal="left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 shrinkToFit="0" vertical="center" wrapText="1"/>
    </xf>
    <xf borderId="15" fillId="0" fontId="21" numFmtId="0" xfId="0" applyAlignment="1" applyBorder="1" applyFont="1">
      <alignment vertical="center"/>
    </xf>
    <xf borderId="0" fillId="13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13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21" numFmtId="0" xfId="0" applyAlignment="1" applyFont="1">
      <alignment horizontal="center"/>
    </xf>
    <xf borderId="15" fillId="0" fontId="21" numFmtId="0" xfId="0" applyAlignment="1" applyBorder="1" applyFont="1">
      <alignment horizontal="left" vertical="center"/>
    </xf>
    <xf borderId="15" fillId="0" fontId="23" numFmtId="0" xfId="0" applyAlignment="1" applyBorder="1" applyFont="1">
      <alignment horizontal="center"/>
    </xf>
    <xf borderId="15" fillId="0" fontId="24" numFmtId="0" xfId="0" applyAlignment="1" applyBorder="1" applyFont="1">
      <alignment horizontal="center" vertical="center"/>
    </xf>
    <xf borderId="15" fillId="0" fontId="25" numFmtId="0" xfId="0" applyAlignment="1" applyBorder="1" applyFont="1">
      <alignment horizontal="center" vertical="center"/>
    </xf>
    <xf borderId="15" fillId="0" fontId="23" numFmtId="0" xfId="0" applyAlignment="1" applyBorder="1" applyFont="1">
      <alignment horizontal="center" shrinkToFit="0" wrapText="1"/>
    </xf>
    <xf borderId="22" fillId="11" fontId="25" numFmtId="0" xfId="0" applyAlignment="1" applyBorder="1" applyFont="1">
      <alignment horizontal="center"/>
    </xf>
    <xf borderId="46" fillId="0" fontId="3" numFmtId="0" xfId="0" applyBorder="1" applyFont="1"/>
    <xf borderId="47" fillId="11" fontId="25" numFmtId="0" xfId="0" applyAlignment="1" applyBorder="1" applyFont="1">
      <alignment horizontal="left"/>
    </xf>
    <xf borderId="48" fillId="0" fontId="25" numFmtId="0" xfId="0" applyAlignment="1" applyBorder="1" applyFont="1">
      <alignment horizontal="center"/>
    </xf>
    <xf borderId="49" fillId="0" fontId="25" numFmtId="0" xfId="0" applyAlignment="1" applyBorder="1" applyFont="1">
      <alignment horizontal="center"/>
    </xf>
    <xf borderId="30" fillId="2" fontId="25" numFmtId="0" xfId="0" applyAlignment="1" applyBorder="1" applyFont="1">
      <alignment horizontal="left"/>
    </xf>
    <xf borderId="30" fillId="14" fontId="25" numFmtId="0" xfId="0" applyAlignment="1" applyBorder="1" applyFill="1" applyFont="1">
      <alignment horizontal="left"/>
    </xf>
    <xf borderId="30" fillId="7" fontId="25" numFmtId="0" xfId="0" applyAlignment="1" applyBorder="1" applyFont="1">
      <alignment horizontal="left"/>
    </xf>
    <xf borderId="30" fillId="15" fontId="25" numFmtId="0" xfId="0" applyAlignment="1" applyBorder="1" applyFill="1" applyFont="1">
      <alignment horizontal="left"/>
    </xf>
  </cellXfs>
  <cellStyles count="1">
    <cellStyle xfId="0" name="Normal" builtinId="0"/>
  </cellStyles>
  <dxfs count="9"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E36C09"/>
          <bgColor rgb="FFE36C09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customschemas.google.com/relationships/workbookmetadata" Target="metadata"/><Relationship Id="rId12" Type="http://schemas.openxmlformats.org/officeDocument/2006/relationships/externalLink" Target="externalLinks/externalLink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RESPALDO\JP%20COMEX\proyectos%202017\trazabilidad-aol\auditoria\Servicios%20Especialezados%20Trazabilidad-aol%20oc-N&#176;%20701-1327-SE17\hito%204\ACTIVIDADES\Gesti&#243;n%20PMO%20-%20Proyecto%20CCC%20-%202012%2010%2019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RESPALDO\JP%20COMEX\proyectos%202017\trazabilidad-aol\auditoria\Servicios%20Especialezados%20Trazabilidad-aol%20oc-N&#176;%20701-1327-SE17\hito%204\ACTIVIDADES\Registro%20de%20Riesgos%20%20Proyecto%20AOL-Trazabilidad%20%20v1.2.xlsm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MEX\JGF\proyectos\proyectos%202017\siscomex-gestion%20certificados\fase%20II\ejecucion\control%20de%20proyecto\Registro%20de%20Riesgos%20%20Proyecto%20gesti&#243;n%20%20certificados%20Sicex%20v1.3.xlsm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MEX\JGF\proyectos\proyectos%202017\siscomex-areas%20de%20extraccion%202\Registro%20de%20Riesgos%20%20Proyecto%20Siscomex%20Areas%20de%20extracci&#243;n%20v1.1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icha Proyecto(CH) (Or)"/>
      <sheetName val="Ficha Proyecto(CH) (3)"/>
      <sheetName val="Ficha Proyecto(CH)"/>
      <sheetName val="Seguimiento Cambios"/>
      <sheetName val="Seguimiento Problemas"/>
      <sheetName val="Seguimiento Riesgo"/>
      <sheetName val="Seguimiento PMO"/>
      <sheetName val="Tabla Segui- Hitos-F"/>
      <sheetName val="Ficha Proyecto"/>
      <sheetName val="Param"/>
      <sheetName val="Curva Hitos (F)"/>
      <sheetName val="Tabla (H)"/>
      <sheetName val="Gantt CCC H (F)"/>
      <sheetName val="Traza de Hitos (F)"/>
      <sheetName val="Gantt CCC CH (2)"/>
      <sheetName val="Gantt CCC 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0"/>
    <col customWidth="1" min="3" max="8" width="11.43"/>
    <col customWidth="1" min="9" max="9" width="7.57"/>
    <col customWidth="1" min="10" max="10" width="8.86"/>
    <col customWidth="1" min="11" max="11" width="9.14"/>
    <col customWidth="1" min="12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1</v>
      </c>
      <c r="C3" s="3"/>
      <c r="D3" s="1"/>
      <c r="E3" s="1"/>
      <c r="F3" s="1"/>
      <c r="G3" s="4"/>
      <c r="H3" s="4"/>
      <c r="I3" s="4"/>
      <c r="J3" s="4"/>
      <c r="K3" s="4"/>
      <c r="L3" s="4"/>
      <c r="M3" s="1"/>
      <c r="N3" s="1"/>
      <c r="O3" s="1"/>
      <c r="P3" s="5" t="s">
        <v>2</v>
      </c>
      <c r="Q3" s="5" t="s">
        <v>3</v>
      </c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4</v>
      </c>
      <c r="C4" s="7">
        <v>3.0</v>
      </c>
      <c r="D4" s="1"/>
      <c r="E4" s="1"/>
      <c r="F4" s="1"/>
      <c r="G4" s="8" t="s">
        <v>5</v>
      </c>
      <c r="H4" s="9"/>
      <c r="I4" s="9"/>
      <c r="J4" s="9"/>
      <c r="K4" s="9"/>
      <c r="L4" s="10"/>
      <c r="M4" s="1"/>
      <c r="N4" s="1"/>
      <c r="O4" s="11" t="s">
        <v>6</v>
      </c>
      <c r="P4" s="12" t="s">
        <v>7</v>
      </c>
      <c r="Q4" s="13" t="s">
        <v>8</v>
      </c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9</v>
      </c>
      <c r="C5" s="7">
        <v>2.0</v>
      </c>
      <c r="D5" s="1"/>
      <c r="E5" s="1"/>
      <c r="F5" s="1"/>
      <c r="G5" s="14"/>
      <c r="H5" s="15" t="s">
        <v>7</v>
      </c>
      <c r="I5" s="16"/>
      <c r="J5" s="16"/>
      <c r="K5" s="16"/>
      <c r="L5" s="17"/>
      <c r="M5" s="1"/>
      <c r="N5" s="1"/>
      <c r="O5" s="18">
        <f t="array" ref="O5">INDEX(MatrizRiesgo,MATCH(P5,ProbabilidadRiesgo,0),MATCH(Q5,ImpactoRiesgo,0))</f>
        <v>1</v>
      </c>
      <c r="P5" s="19" t="s">
        <v>10</v>
      </c>
      <c r="Q5" s="20" t="s">
        <v>4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1" t="s">
        <v>11</v>
      </c>
      <c r="C6" s="22">
        <v>1.0</v>
      </c>
      <c r="D6" s="1"/>
      <c r="E6" s="1"/>
      <c r="F6" s="1"/>
      <c r="G6" s="23"/>
      <c r="H6" s="24" t="s">
        <v>10</v>
      </c>
      <c r="I6" s="25">
        <v>4.0</v>
      </c>
      <c r="J6" s="26">
        <v>2.0</v>
      </c>
      <c r="K6" s="26">
        <v>1.0</v>
      </c>
      <c r="L6" s="17"/>
      <c r="M6" s="1"/>
      <c r="N6" s="1"/>
      <c r="O6" s="18">
        <f t="array" ref="O6">INDEX(MatrizRiesgo,MATCH(P6,ProbabilidadRiesgo,0),MATCH(Q6,ImpactoRiesgo,0))</f>
        <v>3</v>
      </c>
      <c r="P6" s="19" t="s">
        <v>12</v>
      </c>
      <c r="Q6" s="20" t="s">
        <v>4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23"/>
      <c r="H7" s="24" t="s">
        <v>12</v>
      </c>
      <c r="I7" s="27">
        <v>7.0</v>
      </c>
      <c r="J7" s="28">
        <v>5.0</v>
      </c>
      <c r="K7" s="26">
        <v>3.0</v>
      </c>
      <c r="L7" s="17"/>
      <c r="M7" s="1"/>
      <c r="N7" s="1"/>
      <c r="O7" s="18">
        <f t="array" ref="O7">INDEX(MatrizRiesgo,MATCH(P7,ProbabilidadRiesgo,0),MATCH(Q7,ImpactoRiesgo,0))</f>
        <v>9</v>
      </c>
      <c r="P7" s="29" t="s">
        <v>13</v>
      </c>
      <c r="Q7" s="30" t="s">
        <v>11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1" t="s">
        <v>14</v>
      </c>
      <c r="C8" s="32"/>
      <c r="D8" s="1"/>
      <c r="E8" s="1"/>
      <c r="F8" s="1"/>
      <c r="G8" s="23"/>
      <c r="H8" s="24" t="s">
        <v>13</v>
      </c>
      <c r="I8" s="33">
        <v>9.0</v>
      </c>
      <c r="J8" s="34">
        <v>8.0</v>
      </c>
      <c r="K8" s="35">
        <v>6.0</v>
      </c>
      <c r="L8" s="17"/>
      <c r="M8" s="1"/>
      <c r="N8" s="1"/>
      <c r="O8" s="18">
        <f t="array" ref="O8">INDEX(MatrizRiesgo,MATCH(P8,ProbabilidadRiesgo,0),MATCH(Q8,ImpactoRiesgo,0))</f>
        <v>7</v>
      </c>
      <c r="P8" s="29" t="s">
        <v>12</v>
      </c>
      <c r="Q8" s="30" t="s">
        <v>11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6" t="s">
        <v>15</v>
      </c>
      <c r="C9" s="37"/>
      <c r="D9" s="1"/>
      <c r="E9" s="1"/>
      <c r="F9" s="1"/>
      <c r="G9" s="23"/>
      <c r="H9" s="16"/>
      <c r="I9" s="24" t="s">
        <v>11</v>
      </c>
      <c r="J9" s="24" t="s">
        <v>9</v>
      </c>
      <c r="K9" s="24" t="s">
        <v>4</v>
      </c>
      <c r="L9" s="38" t="s">
        <v>8</v>
      </c>
      <c r="M9" s="1"/>
      <c r="N9" s="1"/>
      <c r="O9" s="18">
        <f t="array" ref="O9">INDEX(MatrizRiesgo,MATCH(P9,ProbabilidadRiesgo,0),MATCH(Q9,ImpactoRiesgo,0))</f>
        <v>4</v>
      </c>
      <c r="P9" s="29" t="s">
        <v>10</v>
      </c>
      <c r="Q9" s="30" t="s">
        <v>11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16</v>
      </c>
      <c r="C10" s="7"/>
      <c r="D10" s="1"/>
      <c r="E10" s="1"/>
      <c r="F10" s="1"/>
      <c r="G10" s="39"/>
      <c r="H10" s="40"/>
      <c r="I10" s="41"/>
      <c r="J10" s="42"/>
      <c r="K10" s="42"/>
      <c r="L10" s="43"/>
      <c r="M10" s="1"/>
      <c r="N10" s="1"/>
      <c r="O10" s="18">
        <f t="array" ref="O10">INDEX(MatrizRiesgo,MATCH(P10,ProbabilidadRiesgo,0),MATCH(Q10,ImpactoRiesgo,0))</f>
        <v>7</v>
      </c>
      <c r="P10" s="29" t="s">
        <v>12</v>
      </c>
      <c r="Q10" s="30" t="s">
        <v>11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 t="s">
        <v>17</v>
      </c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8">
        <f t="array" ref="O11">INDEX(MatrizRiesgo,MATCH(P11,ProbabilidadRiesgo,0),MATCH(Q11,ImpactoRiesgo,0))</f>
        <v>9</v>
      </c>
      <c r="P11" s="29" t="s">
        <v>13</v>
      </c>
      <c r="Q11" s="30" t="s">
        <v>11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18</v>
      </c>
      <c r="C12" s="22"/>
      <c r="D12" s="1"/>
      <c r="E12" s="1"/>
      <c r="F12" s="1"/>
      <c r="G12" s="44" t="s">
        <v>19</v>
      </c>
      <c r="H12" s="45"/>
      <c r="I12" s="45"/>
      <c r="J12" s="45"/>
      <c r="K12" s="45"/>
      <c r="L12" s="46"/>
      <c r="M12" s="1"/>
      <c r="N12" s="1"/>
      <c r="O12" s="18">
        <f t="array" ref="O12">INDEX(MatrizRiesgo,MATCH(P12,ProbabilidadRiesgo,0),MATCH(Q12,ImpactoRiesgo,0))</f>
        <v>4</v>
      </c>
      <c r="P12" s="29" t="s">
        <v>10</v>
      </c>
      <c r="Q12" s="30" t="s">
        <v>11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47" t="s">
        <v>20</v>
      </c>
      <c r="H13" s="48"/>
      <c r="I13" s="48"/>
      <c r="J13" s="48"/>
      <c r="K13" s="48"/>
      <c r="L13" s="4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50" t="s">
        <v>21</v>
      </c>
      <c r="H14" s="51" t="s">
        <v>22</v>
      </c>
      <c r="I14" s="48"/>
      <c r="J14" s="48"/>
      <c r="K14" s="48"/>
      <c r="L14" s="4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50" t="s">
        <v>23</v>
      </c>
      <c r="H15" s="52" t="s">
        <v>24</v>
      </c>
      <c r="I15" s="48"/>
      <c r="J15" s="48"/>
      <c r="K15" s="48"/>
      <c r="L15" s="4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"/>
      <c r="B16" s="1"/>
      <c r="C16" s="1"/>
      <c r="D16" s="1"/>
      <c r="E16" s="1"/>
      <c r="F16" s="1"/>
      <c r="G16" s="50"/>
      <c r="H16" s="52" t="s">
        <v>25</v>
      </c>
      <c r="I16" s="48"/>
      <c r="J16" s="48"/>
      <c r="K16" s="48"/>
      <c r="L16" s="4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31" t="s">
        <v>26</v>
      </c>
      <c r="C17" s="32"/>
      <c r="D17" s="1"/>
      <c r="E17" s="1"/>
      <c r="F17" s="1"/>
      <c r="G17" s="50"/>
      <c r="H17" s="52" t="s">
        <v>27</v>
      </c>
      <c r="I17" s="48"/>
      <c r="J17" s="48"/>
      <c r="K17" s="48"/>
      <c r="L17" s="4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6" t="s">
        <v>28</v>
      </c>
      <c r="C18" s="37"/>
      <c r="D18" s="1"/>
      <c r="E18" s="1"/>
      <c r="F18" s="1"/>
      <c r="G18" s="53">
        <v>9.0</v>
      </c>
      <c r="H18" s="52" t="s">
        <v>29</v>
      </c>
      <c r="I18" s="48"/>
      <c r="J18" s="48"/>
      <c r="K18" s="48"/>
      <c r="L18" s="4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 t="s">
        <v>16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" t="s">
        <v>17</v>
      </c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1" t="s">
        <v>18</v>
      </c>
      <c r="C21" s="2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H14:L14"/>
    <mergeCell ref="H15:L15"/>
    <mergeCell ref="H16:L16"/>
    <mergeCell ref="B17:C17"/>
    <mergeCell ref="H17:L17"/>
    <mergeCell ref="H18:L18"/>
    <mergeCell ref="B3:C3"/>
    <mergeCell ref="G4:L4"/>
    <mergeCell ref="G5:G9"/>
    <mergeCell ref="B8:C8"/>
    <mergeCell ref="I10:K10"/>
    <mergeCell ref="G12:L12"/>
    <mergeCell ref="G13:L13"/>
  </mergeCells>
  <dataValidations>
    <dataValidation type="list" allowBlank="1" showErrorMessage="1" sqref="P5:P12">
      <formula1>ProbabilidadRiesgo</formula1>
    </dataValidation>
    <dataValidation type="list" allowBlank="1" showErrorMessage="1" sqref="Q5:Q12">
      <formula1>ImpactoRiesgo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73.43"/>
    <col customWidth="1" min="3" max="3" width="28.29"/>
    <col customWidth="1" min="4" max="4" width="58.57"/>
    <col customWidth="1" min="5" max="26" width="10.71"/>
  </cols>
  <sheetData>
    <row r="1">
      <c r="A1" s="54" t="s">
        <v>30</v>
      </c>
      <c r="B1" s="55" t="s">
        <v>31</v>
      </c>
      <c r="C1" s="55"/>
      <c r="D1" s="55"/>
    </row>
    <row r="2">
      <c r="A2" s="54" t="s">
        <v>32</v>
      </c>
      <c r="B2" s="56" t="s">
        <v>33</v>
      </c>
      <c r="C2" s="55"/>
      <c r="D2" s="55"/>
    </row>
    <row r="3">
      <c r="A3" s="57" t="s">
        <v>34</v>
      </c>
      <c r="B3" s="58">
        <v>46100.0</v>
      </c>
      <c r="C3" s="55"/>
      <c r="D3" s="55"/>
    </row>
    <row r="4">
      <c r="A4" s="55"/>
      <c r="B4" s="55"/>
      <c r="C4" s="55"/>
      <c r="D4" s="55"/>
    </row>
    <row r="5">
      <c r="A5" s="59" t="s">
        <v>35</v>
      </c>
      <c r="B5" s="60"/>
      <c r="C5" s="60"/>
      <c r="D5" s="61"/>
    </row>
    <row r="6">
      <c r="A6" s="62" t="s">
        <v>36</v>
      </c>
      <c r="B6" s="60"/>
      <c r="C6" s="60"/>
      <c r="D6" s="61"/>
    </row>
    <row r="7">
      <c r="A7" s="59" t="s">
        <v>37</v>
      </c>
      <c r="B7" s="60"/>
      <c r="C7" s="60"/>
      <c r="D7" s="61"/>
    </row>
    <row r="8">
      <c r="A8" s="63" t="s">
        <v>38</v>
      </c>
      <c r="B8" s="60"/>
      <c r="C8" s="60"/>
      <c r="D8" s="61"/>
    </row>
    <row r="9">
      <c r="A9" s="64" t="s">
        <v>39</v>
      </c>
      <c r="B9" s="60"/>
      <c r="C9" s="60"/>
      <c r="D9" s="61"/>
    </row>
    <row r="10">
      <c r="A10" s="65" t="s">
        <v>40</v>
      </c>
      <c r="B10" s="60"/>
      <c r="C10" s="60"/>
      <c r="D10" s="61"/>
    </row>
    <row r="11">
      <c r="A11" s="66" t="s">
        <v>34</v>
      </c>
      <c r="B11" s="66" t="s">
        <v>41</v>
      </c>
      <c r="C11" s="66" t="s">
        <v>42</v>
      </c>
      <c r="D11" s="66" t="s">
        <v>43</v>
      </c>
    </row>
    <row r="12">
      <c r="A12" s="67">
        <v>46100.0</v>
      </c>
      <c r="B12" s="68" t="s">
        <v>44</v>
      </c>
      <c r="C12" s="68" t="s">
        <v>45</v>
      </c>
      <c r="D12" s="69" t="s">
        <v>46</v>
      </c>
    </row>
    <row r="13">
      <c r="A13" s="70"/>
      <c r="B13" s="71"/>
      <c r="C13" s="71"/>
      <c r="D13" s="71"/>
    </row>
    <row r="14">
      <c r="A14" s="70"/>
      <c r="B14" s="71"/>
      <c r="C14" s="71"/>
      <c r="D14" s="71"/>
    </row>
    <row r="15">
      <c r="A15" s="72" t="s">
        <v>47</v>
      </c>
      <c r="B15" s="60"/>
      <c r="C15" s="60"/>
      <c r="D15" s="61"/>
    </row>
    <row r="16">
      <c r="A16" s="73" t="s">
        <v>34</v>
      </c>
      <c r="B16" s="66" t="s">
        <v>41</v>
      </c>
      <c r="C16" s="74" t="s">
        <v>42</v>
      </c>
      <c r="D16" s="66" t="s">
        <v>43</v>
      </c>
    </row>
    <row r="17">
      <c r="A17" s="75">
        <v>46118.0</v>
      </c>
      <c r="B17" s="76" t="s">
        <v>48</v>
      </c>
      <c r="C17" s="77" t="s">
        <v>49</v>
      </c>
      <c r="D17" s="78" t="s">
        <v>50</v>
      </c>
    </row>
    <row r="18" ht="15.75" customHeight="1">
      <c r="A18" s="75">
        <v>46118.0</v>
      </c>
      <c r="B18" s="76" t="s">
        <v>51</v>
      </c>
      <c r="C18" s="68" t="s">
        <v>52</v>
      </c>
      <c r="D18" s="69" t="s">
        <v>53</v>
      </c>
    </row>
    <row r="19" ht="15.75" customHeight="1">
      <c r="A19" s="75">
        <v>46118.0</v>
      </c>
      <c r="B19" s="76" t="s">
        <v>51</v>
      </c>
      <c r="C19" s="68" t="s">
        <v>54</v>
      </c>
      <c r="D19" s="69" t="s">
        <v>55</v>
      </c>
    </row>
    <row r="20" ht="15.75" customHeight="1">
      <c r="A20" s="75">
        <v>46118.0</v>
      </c>
      <c r="B20" s="76" t="s">
        <v>51</v>
      </c>
      <c r="C20" s="77">
        <v>46113.0</v>
      </c>
      <c r="D20" s="69" t="s">
        <v>56</v>
      </c>
    </row>
    <row r="21" ht="15.75" customHeight="1">
      <c r="A21" s="79"/>
      <c r="B21" s="80"/>
      <c r="C21" s="80"/>
      <c r="D21" s="80"/>
    </row>
    <row r="22" ht="15.75" customHeight="1">
      <c r="A22" s="79"/>
      <c r="B22" s="80"/>
      <c r="C22" s="80"/>
      <c r="D22" s="80"/>
    </row>
    <row r="23" ht="15.75" customHeight="1">
      <c r="A23" s="79"/>
      <c r="B23" s="80"/>
      <c r="C23" s="80"/>
      <c r="D23" s="80"/>
    </row>
    <row r="24" ht="15.75" customHeight="1">
      <c r="A24" s="81"/>
      <c r="B24" s="81"/>
      <c r="C24" s="81"/>
      <c r="D24" s="8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A5:D5"/>
    <mergeCell ref="A6:D6"/>
    <mergeCell ref="A7:D7"/>
    <mergeCell ref="A8:D8"/>
    <mergeCell ref="A9:D9"/>
    <mergeCell ref="A10:D10"/>
    <mergeCell ref="A15:D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16.29"/>
    <col customWidth="1" min="4" max="4" width="35.43"/>
    <col customWidth="1" min="5" max="5" width="27.86"/>
    <col customWidth="1" min="6" max="6" width="11.0"/>
    <col customWidth="1" min="7" max="7" width="12.29"/>
    <col customWidth="1" min="8" max="8" width="13.86"/>
    <col customWidth="1" min="9" max="11" width="15.0"/>
    <col customWidth="1" min="12" max="12" width="33.14"/>
    <col customWidth="1" min="13" max="13" width="19.29"/>
    <col customWidth="1" min="14" max="14" width="12.71"/>
    <col customWidth="1" min="15" max="15" width="14.14"/>
    <col customWidth="1" min="16" max="16" width="57.0"/>
    <col customWidth="1" min="17" max="26" width="10.71"/>
  </cols>
  <sheetData>
    <row r="1" ht="25.5" customHeight="1">
      <c r="A1" s="82" t="s">
        <v>57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>
      <c r="A2" s="84" t="s">
        <v>58</v>
      </c>
      <c r="B2" s="84" t="s">
        <v>59</v>
      </c>
      <c r="C2" s="84" t="s">
        <v>60</v>
      </c>
      <c r="D2" s="84" t="s">
        <v>61</v>
      </c>
      <c r="E2" s="84" t="s">
        <v>62</v>
      </c>
      <c r="F2" s="84" t="s">
        <v>63</v>
      </c>
      <c r="G2" s="84" t="s">
        <v>64</v>
      </c>
      <c r="H2" s="84" t="s">
        <v>8</v>
      </c>
      <c r="I2" s="85" t="s">
        <v>7</v>
      </c>
      <c r="J2" s="85" t="s">
        <v>8</v>
      </c>
      <c r="K2" s="84" t="s">
        <v>6</v>
      </c>
      <c r="L2" s="84" t="s">
        <v>65</v>
      </c>
      <c r="M2" s="86" t="s">
        <v>66</v>
      </c>
      <c r="N2" s="84" t="s">
        <v>67</v>
      </c>
      <c r="O2" s="84" t="s">
        <v>14</v>
      </c>
      <c r="P2" s="84" t="s">
        <v>68</v>
      </c>
    </row>
    <row r="3">
      <c r="A3" s="87">
        <v>1.0</v>
      </c>
      <c r="B3" s="88">
        <v>46100.0</v>
      </c>
      <c r="C3" s="89" t="s">
        <v>69</v>
      </c>
      <c r="D3" s="89" t="s">
        <v>70</v>
      </c>
      <c r="E3" s="89" t="s">
        <v>71</v>
      </c>
      <c r="F3" s="87" t="s">
        <v>72</v>
      </c>
      <c r="G3" s="90" t="s">
        <v>11</v>
      </c>
      <c r="H3" s="90" t="s">
        <v>4</v>
      </c>
      <c r="I3" s="91">
        <v>2.0</v>
      </c>
      <c r="J3" s="91">
        <v>4.0</v>
      </c>
      <c r="K3" s="92" t="s">
        <v>9</v>
      </c>
      <c r="L3" s="93" t="s">
        <v>73</v>
      </c>
      <c r="M3" s="94" t="s">
        <v>74</v>
      </c>
      <c r="N3" s="88">
        <v>46121.0</v>
      </c>
      <c r="O3" s="90" t="s">
        <v>16</v>
      </c>
      <c r="P3" s="95" t="s">
        <v>75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96">
        <v>2.0</v>
      </c>
      <c r="B4" s="88">
        <v>46100.0</v>
      </c>
      <c r="C4" s="89" t="s">
        <v>76</v>
      </c>
      <c r="D4" s="89" t="s">
        <v>77</v>
      </c>
      <c r="E4" s="89" t="s">
        <v>78</v>
      </c>
      <c r="F4" s="87" t="s">
        <v>79</v>
      </c>
      <c r="G4" s="90" t="s">
        <v>4</v>
      </c>
      <c r="H4" s="90" t="s">
        <v>11</v>
      </c>
      <c r="I4" s="91">
        <v>4.0</v>
      </c>
      <c r="J4" s="91">
        <v>2.0</v>
      </c>
      <c r="K4" s="92" t="s">
        <v>9</v>
      </c>
      <c r="L4" s="93" t="s">
        <v>80</v>
      </c>
      <c r="M4" s="94" t="s">
        <v>74</v>
      </c>
      <c r="N4" s="88">
        <v>46121.0</v>
      </c>
      <c r="O4" s="90" t="s">
        <v>16</v>
      </c>
      <c r="P4" s="95" t="s">
        <v>81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7">
        <v>3.0</v>
      </c>
      <c r="B5" s="88">
        <v>46100.0</v>
      </c>
      <c r="C5" s="89" t="s">
        <v>76</v>
      </c>
      <c r="D5" s="89" t="s">
        <v>82</v>
      </c>
      <c r="E5" s="89" t="s">
        <v>83</v>
      </c>
      <c r="F5" s="87" t="s">
        <v>72</v>
      </c>
      <c r="G5" s="90" t="s">
        <v>9</v>
      </c>
      <c r="H5" s="90" t="s">
        <v>4</v>
      </c>
      <c r="I5" s="91">
        <v>3.0</v>
      </c>
      <c r="J5" s="91">
        <v>4.0</v>
      </c>
      <c r="K5" s="92" t="s">
        <v>4</v>
      </c>
      <c r="L5" s="93" t="s">
        <v>84</v>
      </c>
      <c r="M5" s="94" t="s">
        <v>74</v>
      </c>
      <c r="N5" s="88">
        <v>46121.0</v>
      </c>
      <c r="O5" s="90" t="s">
        <v>16</v>
      </c>
      <c r="P5" s="95" t="s">
        <v>85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7">
        <v>4.0</v>
      </c>
      <c r="B6" s="88">
        <v>46118.0</v>
      </c>
      <c r="C6" s="89" t="s">
        <v>76</v>
      </c>
      <c r="D6" s="89" t="s">
        <v>86</v>
      </c>
      <c r="E6" s="89" t="s">
        <v>87</v>
      </c>
      <c r="F6" s="87" t="s">
        <v>72</v>
      </c>
      <c r="G6" s="90" t="s">
        <v>9</v>
      </c>
      <c r="H6" s="90" t="s">
        <v>9</v>
      </c>
      <c r="I6" s="91">
        <v>3.0</v>
      </c>
      <c r="J6" s="91">
        <v>3.0</v>
      </c>
      <c r="K6" s="92" t="s">
        <v>9</v>
      </c>
      <c r="L6" s="93" t="s">
        <v>88</v>
      </c>
      <c r="M6" s="94" t="s">
        <v>74</v>
      </c>
      <c r="N6" s="88">
        <v>46121.0</v>
      </c>
      <c r="O6" s="90" t="s">
        <v>16</v>
      </c>
      <c r="P6" s="95" t="s">
        <v>89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7">
        <v>5.0</v>
      </c>
      <c r="B7" s="88">
        <v>46118.0</v>
      </c>
      <c r="C7" s="89" t="s">
        <v>90</v>
      </c>
      <c r="D7" s="89" t="s">
        <v>91</v>
      </c>
      <c r="E7" s="89" t="s">
        <v>92</v>
      </c>
      <c r="F7" s="87" t="s">
        <v>72</v>
      </c>
      <c r="G7" s="90" t="s">
        <v>11</v>
      </c>
      <c r="H7" s="90" t="s">
        <v>4</v>
      </c>
      <c r="I7" s="91">
        <v>2.0</v>
      </c>
      <c r="J7" s="91">
        <v>4.0</v>
      </c>
      <c r="K7" s="92" t="s">
        <v>9</v>
      </c>
      <c r="L7" s="93" t="s">
        <v>93</v>
      </c>
      <c r="M7" s="94" t="s">
        <v>74</v>
      </c>
      <c r="N7" s="88">
        <v>46121.0</v>
      </c>
      <c r="O7" s="90" t="s">
        <v>16</v>
      </c>
      <c r="P7" s="95" t="s">
        <v>94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7">
        <v>6.0</v>
      </c>
      <c r="B8" s="88">
        <v>46118.0</v>
      </c>
      <c r="C8" s="89" t="s">
        <v>69</v>
      </c>
      <c r="D8" s="89" t="s">
        <v>95</v>
      </c>
      <c r="E8" s="89" t="s">
        <v>96</v>
      </c>
      <c r="F8" s="87" t="s">
        <v>97</v>
      </c>
      <c r="G8" s="90" t="s">
        <v>11</v>
      </c>
      <c r="H8" s="90" t="s">
        <v>98</v>
      </c>
      <c r="I8" s="91">
        <v>2.0</v>
      </c>
      <c r="J8" s="91">
        <v>5.0</v>
      </c>
      <c r="K8" s="92" t="s">
        <v>4</v>
      </c>
      <c r="L8" s="93" t="s">
        <v>99</v>
      </c>
      <c r="M8" s="94" t="s">
        <v>74</v>
      </c>
      <c r="N8" s="97"/>
      <c r="O8" s="90" t="s">
        <v>16</v>
      </c>
      <c r="P8" s="95" t="s">
        <v>100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7">
        <v>7.0</v>
      </c>
      <c r="B9" s="88">
        <v>46118.0</v>
      </c>
      <c r="C9" s="89" t="s">
        <v>90</v>
      </c>
      <c r="D9" s="89" t="s">
        <v>101</v>
      </c>
      <c r="E9" s="89" t="s">
        <v>102</v>
      </c>
      <c r="F9" s="87" t="s">
        <v>72</v>
      </c>
      <c r="G9" s="90" t="s">
        <v>9</v>
      </c>
      <c r="H9" s="90" t="s">
        <v>4</v>
      </c>
      <c r="I9" s="91">
        <v>3.0</v>
      </c>
      <c r="J9" s="91">
        <v>4.0</v>
      </c>
      <c r="K9" s="92" t="s">
        <v>4</v>
      </c>
      <c r="L9" s="93" t="s">
        <v>103</v>
      </c>
      <c r="M9" s="94" t="s">
        <v>104</v>
      </c>
      <c r="N9" s="88">
        <v>46170.0</v>
      </c>
      <c r="O9" s="90" t="s">
        <v>16</v>
      </c>
      <c r="P9" s="95" t="s">
        <v>105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7">
        <v>8.0</v>
      </c>
      <c r="B10" s="88">
        <v>46118.0</v>
      </c>
      <c r="C10" s="89" t="s">
        <v>76</v>
      </c>
      <c r="D10" s="89" t="s">
        <v>106</v>
      </c>
      <c r="E10" s="89" t="s">
        <v>107</v>
      </c>
      <c r="F10" s="87" t="s">
        <v>97</v>
      </c>
      <c r="G10" s="90" t="s">
        <v>9</v>
      </c>
      <c r="H10" s="90" t="s">
        <v>4</v>
      </c>
      <c r="I10" s="91">
        <v>3.0</v>
      </c>
      <c r="J10" s="91">
        <v>4.0</v>
      </c>
      <c r="K10" s="92" t="s">
        <v>4</v>
      </c>
      <c r="L10" s="93" t="s">
        <v>108</v>
      </c>
      <c r="M10" s="94" t="s">
        <v>74</v>
      </c>
      <c r="N10" s="88">
        <v>46170.0</v>
      </c>
      <c r="O10" s="90" t="s">
        <v>16</v>
      </c>
      <c r="P10" s="95" t="s">
        <v>109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7">
        <v>9.0</v>
      </c>
      <c r="B11" s="88">
        <v>46118.0</v>
      </c>
      <c r="C11" s="89" t="s">
        <v>90</v>
      </c>
      <c r="D11" s="89" t="s">
        <v>110</v>
      </c>
      <c r="E11" s="89" t="s">
        <v>111</v>
      </c>
      <c r="F11" s="87" t="s">
        <v>72</v>
      </c>
      <c r="G11" s="90" t="s">
        <v>9</v>
      </c>
      <c r="H11" s="90" t="s">
        <v>4</v>
      </c>
      <c r="I11" s="91">
        <v>3.0</v>
      </c>
      <c r="J11" s="91">
        <v>4.0</v>
      </c>
      <c r="K11" s="92" t="s">
        <v>4</v>
      </c>
      <c r="L11" s="93" t="s">
        <v>112</v>
      </c>
      <c r="M11" s="94" t="s">
        <v>104</v>
      </c>
      <c r="N11" s="88">
        <v>46170.0</v>
      </c>
      <c r="O11" s="90" t="s">
        <v>16</v>
      </c>
      <c r="P11" s="95" t="s">
        <v>113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7">
        <v>10.0</v>
      </c>
      <c r="B12" s="88">
        <v>46118.0</v>
      </c>
      <c r="C12" s="89" t="s">
        <v>90</v>
      </c>
      <c r="D12" s="89" t="s">
        <v>114</v>
      </c>
      <c r="E12" s="89" t="s">
        <v>115</v>
      </c>
      <c r="F12" s="87" t="s">
        <v>79</v>
      </c>
      <c r="G12" s="90" t="s">
        <v>11</v>
      </c>
      <c r="H12" s="90" t="s">
        <v>4</v>
      </c>
      <c r="I12" s="91">
        <v>2.0</v>
      </c>
      <c r="J12" s="91">
        <v>4.0</v>
      </c>
      <c r="K12" s="92" t="s">
        <v>9</v>
      </c>
      <c r="L12" s="93" t="s">
        <v>116</v>
      </c>
      <c r="M12" s="94" t="s">
        <v>104</v>
      </c>
      <c r="N12" s="88">
        <v>46170.0</v>
      </c>
      <c r="O12" s="90" t="s">
        <v>16</v>
      </c>
      <c r="P12" s="95" t="s">
        <v>117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7">
        <v>11.0</v>
      </c>
      <c r="B13" s="88">
        <v>46118.0</v>
      </c>
      <c r="C13" s="89" t="s">
        <v>76</v>
      </c>
      <c r="D13" s="89" t="s">
        <v>118</v>
      </c>
      <c r="E13" s="89" t="s">
        <v>119</v>
      </c>
      <c r="F13" s="87" t="s">
        <v>79</v>
      </c>
      <c r="G13" s="90" t="s">
        <v>9</v>
      </c>
      <c r="H13" s="90" t="s">
        <v>9</v>
      </c>
      <c r="I13" s="91">
        <v>3.0</v>
      </c>
      <c r="J13" s="91">
        <v>3.0</v>
      </c>
      <c r="K13" s="92" t="s">
        <v>9</v>
      </c>
      <c r="L13" s="93" t="s">
        <v>120</v>
      </c>
      <c r="M13" s="94" t="s">
        <v>121</v>
      </c>
      <c r="N13" s="88">
        <v>46170.0</v>
      </c>
      <c r="O13" s="90" t="s">
        <v>16</v>
      </c>
      <c r="P13" s="95" t="s">
        <v>122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7">
        <v>12.0</v>
      </c>
      <c r="B14" s="88">
        <v>46118.0</v>
      </c>
      <c r="C14" s="89" t="s">
        <v>69</v>
      </c>
      <c r="D14" s="89" t="s">
        <v>123</v>
      </c>
      <c r="E14" s="89" t="s">
        <v>124</v>
      </c>
      <c r="F14" s="87" t="s">
        <v>97</v>
      </c>
      <c r="G14" s="90" t="s">
        <v>4</v>
      </c>
      <c r="H14" s="90" t="s">
        <v>98</v>
      </c>
      <c r="I14" s="91">
        <v>4.0</v>
      </c>
      <c r="J14" s="91">
        <v>5.0</v>
      </c>
      <c r="K14" s="92" t="s">
        <v>98</v>
      </c>
      <c r="L14" s="93" t="s">
        <v>125</v>
      </c>
      <c r="M14" s="94" t="s">
        <v>74</v>
      </c>
      <c r="N14" s="88">
        <v>46170.0</v>
      </c>
      <c r="O14" s="90" t="s">
        <v>16</v>
      </c>
      <c r="P14" s="95" t="s">
        <v>126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2.75" customHeight="1">
      <c r="A15" s="87">
        <v>13.0</v>
      </c>
      <c r="B15" s="88">
        <v>46118.0</v>
      </c>
      <c r="C15" s="89" t="s">
        <v>69</v>
      </c>
      <c r="D15" s="89" t="s">
        <v>127</v>
      </c>
      <c r="E15" s="89" t="s">
        <v>128</v>
      </c>
      <c r="F15" s="87" t="s">
        <v>97</v>
      </c>
      <c r="G15" s="90" t="s">
        <v>9</v>
      </c>
      <c r="H15" s="90" t="s">
        <v>4</v>
      </c>
      <c r="I15" s="91">
        <v>3.0</v>
      </c>
      <c r="J15" s="91">
        <v>4.0</v>
      </c>
      <c r="K15" s="92" t="s">
        <v>4</v>
      </c>
      <c r="L15" s="93" t="s">
        <v>129</v>
      </c>
      <c r="M15" s="94" t="s">
        <v>74</v>
      </c>
      <c r="N15" s="88">
        <v>46170.0</v>
      </c>
      <c r="O15" s="90" t="s">
        <v>16</v>
      </c>
      <c r="P15" s="95" t="s">
        <v>130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7">
        <v>14.0</v>
      </c>
      <c r="B16" s="88">
        <v>46118.0</v>
      </c>
      <c r="C16" s="89" t="s">
        <v>69</v>
      </c>
      <c r="D16" s="89" t="s">
        <v>131</v>
      </c>
      <c r="E16" s="89" t="s">
        <v>132</v>
      </c>
      <c r="F16" s="87" t="s">
        <v>97</v>
      </c>
      <c r="G16" s="90" t="s">
        <v>11</v>
      </c>
      <c r="H16" s="90" t="s">
        <v>9</v>
      </c>
      <c r="I16" s="91">
        <v>2.0</v>
      </c>
      <c r="J16" s="91">
        <v>3.0</v>
      </c>
      <c r="K16" s="92" t="s">
        <v>9</v>
      </c>
      <c r="L16" s="93" t="s">
        <v>133</v>
      </c>
      <c r="M16" s="94" t="s">
        <v>74</v>
      </c>
      <c r="N16" s="88">
        <v>46170.0</v>
      </c>
      <c r="O16" s="90" t="s">
        <v>16</v>
      </c>
      <c r="P16" s="95" t="s">
        <v>134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87">
        <v>15.0</v>
      </c>
      <c r="B17" s="88">
        <v>46118.0</v>
      </c>
      <c r="C17" s="89" t="s">
        <v>69</v>
      </c>
      <c r="D17" s="89" t="s">
        <v>135</v>
      </c>
      <c r="E17" s="89" t="s">
        <v>136</v>
      </c>
      <c r="F17" s="87" t="s">
        <v>97</v>
      </c>
      <c r="G17" s="90" t="s">
        <v>11</v>
      </c>
      <c r="H17" s="90" t="s">
        <v>9</v>
      </c>
      <c r="I17" s="91">
        <v>2.0</v>
      </c>
      <c r="J17" s="91">
        <v>3.0</v>
      </c>
      <c r="K17" s="92" t="s">
        <v>9</v>
      </c>
      <c r="L17" s="93" t="s">
        <v>137</v>
      </c>
      <c r="M17" s="94" t="s">
        <v>74</v>
      </c>
      <c r="N17" s="88">
        <v>46170.0</v>
      </c>
      <c r="O17" s="90" t="s">
        <v>16</v>
      </c>
      <c r="P17" s="95" t="s">
        <v>138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87">
        <v>16.0</v>
      </c>
      <c r="B18" s="88">
        <v>46118.0</v>
      </c>
      <c r="C18" s="89" t="s">
        <v>69</v>
      </c>
      <c r="D18" s="89" t="s">
        <v>139</v>
      </c>
      <c r="E18" s="89" t="s">
        <v>140</v>
      </c>
      <c r="F18" s="87" t="s">
        <v>97</v>
      </c>
      <c r="G18" s="90" t="s">
        <v>9</v>
      </c>
      <c r="H18" s="90" t="s">
        <v>4</v>
      </c>
      <c r="I18" s="91">
        <v>3.0</v>
      </c>
      <c r="J18" s="91">
        <v>4.0</v>
      </c>
      <c r="K18" s="92" t="s">
        <v>4</v>
      </c>
      <c r="L18" s="93" t="s">
        <v>141</v>
      </c>
      <c r="M18" s="94" t="s">
        <v>74</v>
      </c>
      <c r="N18" s="88">
        <v>46170.0</v>
      </c>
      <c r="O18" s="90" t="s">
        <v>16</v>
      </c>
      <c r="P18" s="95" t="s">
        <v>142</v>
      </c>
    </row>
    <row r="19" ht="15.75" customHeight="1">
      <c r="A19" s="87">
        <v>17.0</v>
      </c>
      <c r="B19" s="88">
        <v>46118.0</v>
      </c>
      <c r="C19" s="89" t="s">
        <v>76</v>
      </c>
      <c r="D19" s="89" t="s">
        <v>143</v>
      </c>
      <c r="E19" s="89" t="s">
        <v>144</v>
      </c>
      <c r="F19" s="87" t="s">
        <v>79</v>
      </c>
      <c r="G19" s="90" t="s">
        <v>11</v>
      </c>
      <c r="H19" s="90" t="s">
        <v>9</v>
      </c>
      <c r="I19" s="91">
        <v>2.0</v>
      </c>
      <c r="J19" s="91">
        <v>3.0</v>
      </c>
      <c r="K19" s="92" t="s">
        <v>11</v>
      </c>
      <c r="L19" s="93" t="s">
        <v>145</v>
      </c>
      <c r="M19" s="94" t="s">
        <v>121</v>
      </c>
      <c r="N19" s="88">
        <v>46191.0</v>
      </c>
      <c r="O19" s="90" t="s">
        <v>16</v>
      </c>
      <c r="P19" s="95" t="s">
        <v>146</v>
      </c>
    </row>
    <row r="20" ht="15.75" customHeight="1">
      <c r="A20" s="87">
        <v>18.0</v>
      </c>
      <c r="B20" s="88">
        <v>46118.0</v>
      </c>
      <c r="C20" s="89" t="s">
        <v>69</v>
      </c>
      <c r="D20" s="89" t="s">
        <v>147</v>
      </c>
      <c r="E20" s="89" t="s">
        <v>148</v>
      </c>
      <c r="F20" s="87" t="s">
        <v>79</v>
      </c>
      <c r="G20" s="90" t="s">
        <v>11</v>
      </c>
      <c r="H20" s="90" t="s">
        <v>9</v>
      </c>
      <c r="I20" s="91">
        <v>2.0</v>
      </c>
      <c r="J20" s="91">
        <v>3.0</v>
      </c>
      <c r="K20" s="92" t="s">
        <v>11</v>
      </c>
      <c r="L20" s="93" t="s">
        <v>149</v>
      </c>
      <c r="M20" s="94" t="s">
        <v>121</v>
      </c>
      <c r="N20" s="88">
        <v>46191.0</v>
      </c>
      <c r="O20" s="90" t="s">
        <v>16</v>
      </c>
      <c r="P20" s="95" t="s">
        <v>150</v>
      </c>
    </row>
    <row r="21" ht="15.75" customHeight="1">
      <c r="A21" s="87">
        <v>19.0</v>
      </c>
      <c r="B21" s="88">
        <v>46118.0</v>
      </c>
      <c r="C21" s="89" t="s">
        <v>151</v>
      </c>
      <c r="D21" s="89" t="s">
        <v>152</v>
      </c>
      <c r="E21" s="89" t="s">
        <v>153</v>
      </c>
      <c r="F21" s="87" t="s">
        <v>97</v>
      </c>
      <c r="G21" s="90" t="s">
        <v>9</v>
      </c>
      <c r="H21" s="90" t="s">
        <v>4</v>
      </c>
      <c r="I21" s="91">
        <v>3.0</v>
      </c>
      <c r="J21" s="91">
        <v>4.0</v>
      </c>
      <c r="K21" s="92" t="s">
        <v>4</v>
      </c>
      <c r="L21" s="93" t="s">
        <v>154</v>
      </c>
      <c r="M21" s="94" t="s">
        <v>74</v>
      </c>
      <c r="N21" s="88">
        <v>46191.0</v>
      </c>
      <c r="O21" s="90" t="s">
        <v>16</v>
      </c>
      <c r="P21" s="95" t="s">
        <v>155</v>
      </c>
    </row>
    <row r="22" ht="15.75" customHeight="1">
      <c r="A22" s="87">
        <v>20.0</v>
      </c>
      <c r="B22" s="88">
        <v>46118.0</v>
      </c>
      <c r="C22" s="89" t="s">
        <v>69</v>
      </c>
      <c r="D22" s="89" t="s">
        <v>156</v>
      </c>
      <c r="E22" s="89" t="s">
        <v>157</v>
      </c>
      <c r="F22" s="87" t="s">
        <v>97</v>
      </c>
      <c r="G22" s="90" t="s">
        <v>9</v>
      </c>
      <c r="H22" s="90" t="s">
        <v>9</v>
      </c>
      <c r="I22" s="91">
        <v>3.0</v>
      </c>
      <c r="J22" s="91">
        <v>3.0</v>
      </c>
      <c r="K22" s="92" t="s">
        <v>9</v>
      </c>
      <c r="L22" s="93" t="s">
        <v>158</v>
      </c>
      <c r="M22" s="94" t="s">
        <v>74</v>
      </c>
      <c r="N22" s="88">
        <v>46191.0</v>
      </c>
      <c r="O22" s="90" t="s">
        <v>16</v>
      </c>
      <c r="P22" s="95" t="s">
        <v>159</v>
      </c>
    </row>
    <row r="23" ht="15.75" customHeight="1">
      <c r="A23" s="87">
        <v>21.0</v>
      </c>
      <c r="B23" s="88">
        <v>46118.0</v>
      </c>
      <c r="C23" s="89" t="s">
        <v>69</v>
      </c>
      <c r="D23" s="89" t="s">
        <v>160</v>
      </c>
      <c r="E23" s="89" t="s">
        <v>161</v>
      </c>
      <c r="F23" s="87" t="s">
        <v>97</v>
      </c>
      <c r="G23" s="90" t="s">
        <v>9</v>
      </c>
      <c r="H23" s="90" t="s">
        <v>4</v>
      </c>
      <c r="I23" s="91">
        <v>3.0</v>
      </c>
      <c r="J23" s="91">
        <v>4.0</v>
      </c>
      <c r="K23" s="92" t="s">
        <v>4</v>
      </c>
      <c r="L23" s="93" t="s">
        <v>162</v>
      </c>
      <c r="M23" s="94" t="s">
        <v>74</v>
      </c>
      <c r="N23" s="88">
        <v>46191.0</v>
      </c>
      <c r="O23" s="90" t="s">
        <v>16</v>
      </c>
      <c r="P23" s="95" t="s">
        <v>163</v>
      </c>
    </row>
    <row r="24" ht="15.75" customHeight="1">
      <c r="A24" s="87">
        <v>22.0</v>
      </c>
      <c r="B24" s="88">
        <v>46118.0</v>
      </c>
      <c r="C24" s="89" t="s">
        <v>164</v>
      </c>
      <c r="D24" s="89" t="s">
        <v>165</v>
      </c>
      <c r="E24" s="89" t="s">
        <v>166</v>
      </c>
      <c r="F24" s="87" t="s">
        <v>79</v>
      </c>
      <c r="G24" s="90" t="s">
        <v>9</v>
      </c>
      <c r="H24" s="90" t="s">
        <v>4</v>
      </c>
      <c r="I24" s="91">
        <v>3.0</v>
      </c>
      <c r="J24" s="91">
        <v>4.0</v>
      </c>
      <c r="K24" s="92" t="s">
        <v>4</v>
      </c>
      <c r="L24" s="93" t="s">
        <v>167</v>
      </c>
      <c r="M24" s="94" t="s">
        <v>121</v>
      </c>
      <c r="N24" s="88">
        <v>46191.0</v>
      </c>
      <c r="O24" s="90" t="s">
        <v>16</v>
      </c>
      <c r="P24" s="95" t="s">
        <v>168</v>
      </c>
    </row>
    <row r="25" ht="15.75" customHeight="1">
      <c r="A25" s="87">
        <v>23.0</v>
      </c>
      <c r="B25" s="88">
        <v>46118.0</v>
      </c>
      <c r="C25" s="89" t="s">
        <v>69</v>
      </c>
      <c r="D25" s="89" t="s">
        <v>169</v>
      </c>
      <c r="E25" s="89" t="s">
        <v>170</v>
      </c>
      <c r="F25" s="87" t="s">
        <v>97</v>
      </c>
      <c r="G25" s="90" t="s">
        <v>11</v>
      </c>
      <c r="H25" s="90" t="s">
        <v>9</v>
      </c>
      <c r="I25" s="91">
        <v>2.0</v>
      </c>
      <c r="J25" s="91">
        <v>3.0</v>
      </c>
      <c r="K25" s="92" t="s">
        <v>9</v>
      </c>
      <c r="L25" s="93" t="s">
        <v>171</v>
      </c>
      <c r="M25" s="94" t="s">
        <v>74</v>
      </c>
      <c r="N25" s="88">
        <v>46191.0</v>
      </c>
      <c r="O25" s="90" t="s">
        <v>16</v>
      </c>
      <c r="P25" s="95" t="s">
        <v>172</v>
      </c>
    </row>
    <row r="26" ht="15.75" customHeight="1">
      <c r="A26" s="87">
        <v>24.0</v>
      </c>
      <c r="B26" s="88">
        <v>46118.0</v>
      </c>
      <c r="C26" s="89" t="s">
        <v>151</v>
      </c>
      <c r="D26" s="89" t="s">
        <v>173</v>
      </c>
      <c r="E26" s="89" t="s">
        <v>174</v>
      </c>
      <c r="F26" s="87" t="s">
        <v>97</v>
      </c>
      <c r="G26" s="90" t="s">
        <v>9</v>
      </c>
      <c r="H26" s="90" t="s">
        <v>9</v>
      </c>
      <c r="I26" s="91">
        <v>3.0</v>
      </c>
      <c r="J26" s="91">
        <v>3.0</v>
      </c>
      <c r="K26" s="92" t="s">
        <v>9</v>
      </c>
      <c r="L26" s="93" t="s">
        <v>175</v>
      </c>
      <c r="M26" s="94" t="s">
        <v>74</v>
      </c>
      <c r="N26" s="88">
        <v>46191.0</v>
      </c>
      <c r="O26" s="90" t="s">
        <v>28</v>
      </c>
      <c r="P26" s="95" t="s">
        <v>176</v>
      </c>
    </row>
    <row r="27" ht="15.75" customHeight="1">
      <c r="A27" s="87">
        <v>25.0</v>
      </c>
      <c r="B27" s="88">
        <v>46118.0</v>
      </c>
      <c r="C27" s="89" t="s">
        <v>151</v>
      </c>
      <c r="D27" s="89" t="s">
        <v>177</v>
      </c>
      <c r="E27" s="89" t="s">
        <v>178</v>
      </c>
      <c r="F27" s="87" t="s">
        <v>97</v>
      </c>
      <c r="G27" s="90" t="s">
        <v>9</v>
      </c>
      <c r="H27" s="90" t="s">
        <v>98</v>
      </c>
      <c r="I27" s="91">
        <v>3.0</v>
      </c>
      <c r="J27" s="91">
        <v>5.0</v>
      </c>
      <c r="K27" s="92" t="s">
        <v>98</v>
      </c>
      <c r="L27" s="93" t="s">
        <v>179</v>
      </c>
      <c r="M27" s="94" t="s">
        <v>74</v>
      </c>
      <c r="N27" s="88">
        <v>46191.0</v>
      </c>
      <c r="O27" s="90" t="s">
        <v>28</v>
      </c>
      <c r="P27" s="95" t="s">
        <v>180</v>
      </c>
    </row>
    <row r="28" ht="15.75" customHeight="1">
      <c r="A28" s="87">
        <v>26.0</v>
      </c>
      <c r="B28" s="88">
        <v>46118.0</v>
      </c>
      <c r="C28" s="89" t="s">
        <v>181</v>
      </c>
      <c r="D28" s="89" t="s">
        <v>182</v>
      </c>
      <c r="E28" s="89" t="s">
        <v>183</v>
      </c>
      <c r="F28" s="87" t="s">
        <v>184</v>
      </c>
      <c r="G28" s="90" t="s">
        <v>9</v>
      </c>
      <c r="H28" s="90" t="s">
        <v>4</v>
      </c>
      <c r="I28" s="91">
        <v>3.0</v>
      </c>
      <c r="J28" s="91">
        <v>4.0</v>
      </c>
      <c r="K28" s="92" t="s">
        <v>4</v>
      </c>
      <c r="L28" s="93" t="s">
        <v>185</v>
      </c>
      <c r="M28" s="94" t="s">
        <v>104</v>
      </c>
      <c r="N28" s="88">
        <v>46191.0</v>
      </c>
      <c r="O28" s="90" t="s">
        <v>28</v>
      </c>
      <c r="P28" s="95" t="s">
        <v>186</v>
      </c>
    </row>
    <row r="29" ht="15.75" customHeight="1">
      <c r="A29" s="87">
        <v>27.0</v>
      </c>
      <c r="B29" s="88">
        <v>46118.0</v>
      </c>
      <c r="C29" s="89" t="s">
        <v>69</v>
      </c>
      <c r="D29" s="89" t="s">
        <v>187</v>
      </c>
      <c r="E29" s="89" t="s">
        <v>188</v>
      </c>
      <c r="F29" s="87" t="s">
        <v>97</v>
      </c>
      <c r="G29" s="90" t="s">
        <v>9</v>
      </c>
      <c r="H29" s="90" t="s">
        <v>4</v>
      </c>
      <c r="I29" s="91">
        <v>3.0</v>
      </c>
      <c r="J29" s="91">
        <v>4.0</v>
      </c>
      <c r="K29" s="92" t="s">
        <v>4</v>
      </c>
      <c r="L29" s="93" t="s">
        <v>189</v>
      </c>
      <c r="M29" s="94" t="s">
        <v>74</v>
      </c>
      <c r="N29" s="88">
        <v>46191.0</v>
      </c>
      <c r="O29" s="90" t="s">
        <v>28</v>
      </c>
      <c r="P29" s="95" t="s">
        <v>190</v>
      </c>
    </row>
    <row r="30" ht="15.75" customHeight="1">
      <c r="A30" s="87">
        <v>28.0</v>
      </c>
      <c r="B30" s="88">
        <v>46118.0</v>
      </c>
      <c r="C30" s="89" t="s">
        <v>164</v>
      </c>
      <c r="D30" s="89" t="s">
        <v>191</v>
      </c>
      <c r="E30" s="89" t="s">
        <v>192</v>
      </c>
      <c r="F30" s="87" t="s">
        <v>79</v>
      </c>
      <c r="G30" s="90" t="s">
        <v>9</v>
      </c>
      <c r="H30" s="90" t="s">
        <v>9</v>
      </c>
      <c r="I30" s="91">
        <v>3.0</v>
      </c>
      <c r="J30" s="91">
        <v>3.0</v>
      </c>
      <c r="K30" s="92" t="s">
        <v>9</v>
      </c>
      <c r="L30" s="93" t="s">
        <v>193</v>
      </c>
      <c r="M30" s="94" t="s">
        <v>121</v>
      </c>
      <c r="N30" s="88">
        <v>46224.0</v>
      </c>
      <c r="O30" s="90" t="s">
        <v>28</v>
      </c>
      <c r="P30" s="95" t="s">
        <v>194</v>
      </c>
    </row>
    <row r="31" ht="15.75" customHeight="1">
      <c r="A31" s="87">
        <v>29.0</v>
      </c>
      <c r="B31" s="88">
        <v>46118.0</v>
      </c>
      <c r="C31" s="89" t="s">
        <v>76</v>
      </c>
      <c r="D31" s="89" t="s">
        <v>195</v>
      </c>
      <c r="E31" s="89" t="s">
        <v>196</v>
      </c>
      <c r="F31" s="87" t="s">
        <v>79</v>
      </c>
      <c r="G31" s="90" t="s">
        <v>9</v>
      </c>
      <c r="H31" s="90" t="s">
        <v>4</v>
      </c>
      <c r="I31" s="91">
        <v>3.0</v>
      </c>
      <c r="J31" s="91">
        <v>4.0</v>
      </c>
      <c r="K31" s="92" t="s">
        <v>4</v>
      </c>
      <c r="L31" s="93" t="s">
        <v>197</v>
      </c>
      <c r="M31" s="94" t="s">
        <v>74</v>
      </c>
      <c r="N31" s="88">
        <v>46224.0</v>
      </c>
      <c r="O31" s="90" t="s">
        <v>28</v>
      </c>
      <c r="P31" s="95" t="s">
        <v>198</v>
      </c>
    </row>
    <row r="32" ht="15.75" customHeight="1">
      <c r="A32" s="87">
        <v>30.0</v>
      </c>
      <c r="B32" s="88">
        <v>46118.0</v>
      </c>
      <c r="C32" s="89" t="s">
        <v>69</v>
      </c>
      <c r="D32" s="89" t="s">
        <v>199</v>
      </c>
      <c r="E32" s="89" t="s">
        <v>200</v>
      </c>
      <c r="F32" s="87" t="s">
        <v>97</v>
      </c>
      <c r="G32" s="90" t="s">
        <v>9</v>
      </c>
      <c r="H32" s="90" t="s">
        <v>9</v>
      </c>
      <c r="I32" s="91">
        <v>3.0</v>
      </c>
      <c r="J32" s="91">
        <v>3.0</v>
      </c>
      <c r="K32" s="92" t="s">
        <v>9</v>
      </c>
      <c r="L32" s="93" t="s">
        <v>201</v>
      </c>
      <c r="M32" s="94" t="s">
        <v>74</v>
      </c>
      <c r="N32" s="88">
        <v>46224.0</v>
      </c>
      <c r="O32" s="90" t="s">
        <v>28</v>
      </c>
      <c r="P32" s="95" t="s">
        <v>202</v>
      </c>
    </row>
    <row r="33" ht="15.75" customHeight="1">
      <c r="A33" s="87">
        <v>31.0</v>
      </c>
      <c r="B33" s="88">
        <v>46118.0</v>
      </c>
      <c r="C33" s="89" t="s">
        <v>69</v>
      </c>
      <c r="D33" s="89" t="s">
        <v>203</v>
      </c>
      <c r="E33" s="89" t="s">
        <v>204</v>
      </c>
      <c r="F33" s="87" t="s">
        <v>97</v>
      </c>
      <c r="G33" s="90" t="s">
        <v>9</v>
      </c>
      <c r="H33" s="90" t="s">
        <v>4</v>
      </c>
      <c r="I33" s="91">
        <v>3.0</v>
      </c>
      <c r="J33" s="91">
        <v>4.0</v>
      </c>
      <c r="K33" s="92" t="s">
        <v>4</v>
      </c>
      <c r="L33" s="93" t="s">
        <v>205</v>
      </c>
      <c r="M33" s="94" t="s">
        <v>74</v>
      </c>
      <c r="N33" s="88">
        <v>46224.0</v>
      </c>
      <c r="O33" s="90" t="s">
        <v>28</v>
      </c>
      <c r="P33" s="93" t="s">
        <v>206</v>
      </c>
    </row>
    <row r="34" ht="15.75" customHeight="1">
      <c r="A34" s="87">
        <v>32.0</v>
      </c>
      <c r="B34" s="88">
        <v>46118.0</v>
      </c>
      <c r="C34" s="89" t="s">
        <v>151</v>
      </c>
      <c r="D34" s="89" t="s">
        <v>207</v>
      </c>
      <c r="E34" s="89" t="s">
        <v>208</v>
      </c>
      <c r="F34" s="87" t="s">
        <v>97</v>
      </c>
      <c r="G34" s="90" t="s">
        <v>9</v>
      </c>
      <c r="H34" s="90" t="s">
        <v>98</v>
      </c>
      <c r="I34" s="91">
        <v>3.0</v>
      </c>
      <c r="J34" s="91">
        <v>5.0</v>
      </c>
      <c r="K34" s="92" t="s">
        <v>98</v>
      </c>
      <c r="L34" s="93" t="s">
        <v>209</v>
      </c>
      <c r="M34" s="94" t="s">
        <v>74</v>
      </c>
      <c r="N34" s="88">
        <v>46224.0</v>
      </c>
      <c r="O34" s="90" t="s">
        <v>28</v>
      </c>
      <c r="P34" s="93" t="s">
        <v>210</v>
      </c>
    </row>
    <row r="35" ht="15.75" customHeight="1">
      <c r="A35" s="87">
        <v>33.0</v>
      </c>
      <c r="B35" s="88">
        <v>46118.0</v>
      </c>
      <c r="C35" s="89" t="s">
        <v>76</v>
      </c>
      <c r="D35" s="89" t="s">
        <v>211</v>
      </c>
      <c r="E35" s="89" t="s">
        <v>212</v>
      </c>
      <c r="F35" s="87" t="s">
        <v>79</v>
      </c>
      <c r="G35" s="90" t="s">
        <v>11</v>
      </c>
      <c r="H35" s="90" t="s">
        <v>9</v>
      </c>
      <c r="I35" s="91">
        <v>2.0</v>
      </c>
      <c r="J35" s="91">
        <v>3.0</v>
      </c>
      <c r="K35" s="92" t="s">
        <v>11</v>
      </c>
      <c r="L35" s="93" t="s">
        <v>213</v>
      </c>
      <c r="M35" s="94" t="s">
        <v>121</v>
      </c>
      <c r="N35" s="88">
        <v>46224.0</v>
      </c>
      <c r="O35" s="90" t="s">
        <v>28</v>
      </c>
      <c r="P35" s="93" t="s">
        <v>214</v>
      </c>
    </row>
    <row r="36" ht="15.75" customHeight="1">
      <c r="A36" s="87">
        <v>34.0</v>
      </c>
      <c r="B36" s="88">
        <v>46118.0</v>
      </c>
      <c r="C36" s="89" t="s">
        <v>164</v>
      </c>
      <c r="D36" s="89" t="s">
        <v>215</v>
      </c>
      <c r="E36" s="89" t="s">
        <v>216</v>
      </c>
      <c r="F36" s="87" t="s">
        <v>79</v>
      </c>
      <c r="G36" s="90" t="s">
        <v>9</v>
      </c>
      <c r="H36" s="90" t="s">
        <v>4</v>
      </c>
      <c r="I36" s="91">
        <v>3.0</v>
      </c>
      <c r="J36" s="91">
        <v>4.0</v>
      </c>
      <c r="K36" s="92" t="s">
        <v>4</v>
      </c>
      <c r="L36" s="93" t="s">
        <v>217</v>
      </c>
      <c r="M36" s="94" t="s">
        <v>74</v>
      </c>
      <c r="N36" s="88">
        <v>46224.0</v>
      </c>
      <c r="O36" s="90" t="s">
        <v>28</v>
      </c>
      <c r="P36" s="98" t="s">
        <v>218</v>
      </c>
    </row>
    <row r="37" ht="15.75" customHeight="1">
      <c r="A37" s="87">
        <v>35.0</v>
      </c>
      <c r="B37" s="88">
        <v>46118.0</v>
      </c>
      <c r="C37" s="89" t="s">
        <v>69</v>
      </c>
      <c r="D37" s="89" t="s">
        <v>219</v>
      </c>
      <c r="E37" s="89" t="s">
        <v>220</v>
      </c>
      <c r="F37" s="87" t="s">
        <v>97</v>
      </c>
      <c r="G37" s="90" t="s">
        <v>9</v>
      </c>
      <c r="H37" s="90" t="s">
        <v>4</v>
      </c>
      <c r="I37" s="91">
        <v>3.0</v>
      </c>
      <c r="J37" s="91">
        <v>4.0</v>
      </c>
      <c r="K37" s="92" t="s">
        <v>4</v>
      </c>
      <c r="L37" s="93" t="s">
        <v>221</v>
      </c>
      <c r="M37" s="94" t="s">
        <v>74</v>
      </c>
      <c r="N37" s="88">
        <v>46224.0</v>
      </c>
      <c r="O37" s="90" t="s">
        <v>28</v>
      </c>
      <c r="P37" s="98" t="s">
        <v>222</v>
      </c>
    </row>
    <row r="38" ht="15.75" customHeight="1">
      <c r="A38" s="87">
        <v>36.0</v>
      </c>
      <c r="B38" s="88">
        <v>46118.0</v>
      </c>
      <c r="C38" s="89" t="s">
        <v>181</v>
      </c>
      <c r="D38" s="89" t="s">
        <v>223</v>
      </c>
      <c r="E38" s="89" t="s">
        <v>224</v>
      </c>
      <c r="F38" s="87" t="s">
        <v>184</v>
      </c>
      <c r="G38" s="90" t="s">
        <v>9</v>
      </c>
      <c r="H38" s="90" t="s">
        <v>9</v>
      </c>
      <c r="I38" s="91">
        <v>3.0</v>
      </c>
      <c r="J38" s="91">
        <v>3.0</v>
      </c>
      <c r="K38" s="92" t="s">
        <v>9</v>
      </c>
      <c r="L38" s="93" t="s">
        <v>225</v>
      </c>
      <c r="M38" s="94" t="s">
        <v>104</v>
      </c>
      <c r="N38" s="88">
        <v>46224.0</v>
      </c>
      <c r="O38" s="90" t="s">
        <v>28</v>
      </c>
      <c r="P38" s="98" t="s">
        <v>226</v>
      </c>
    </row>
    <row r="39" ht="15.75" customHeight="1">
      <c r="A39" s="87">
        <v>37.0</v>
      </c>
      <c r="B39" s="88">
        <v>46118.0</v>
      </c>
      <c r="C39" s="89" t="s">
        <v>69</v>
      </c>
      <c r="D39" s="89" t="s">
        <v>227</v>
      </c>
      <c r="E39" s="89" t="s">
        <v>228</v>
      </c>
      <c r="F39" s="87" t="s">
        <v>97</v>
      </c>
      <c r="G39" s="90" t="s">
        <v>9</v>
      </c>
      <c r="H39" s="90" t="s">
        <v>4</v>
      </c>
      <c r="I39" s="91">
        <v>3.0</v>
      </c>
      <c r="J39" s="91">
        <v>4.0</v>
      </c>
      <c r="K39" s="92" t="s">
        <v>4</v>
      </c>
      <c r="L39" s="93" t="s">
        <v>229</v>
      </c>
      <c r="M39" s="94" t="s">
        <v>74</v>
      </c>
      <c r="N39" s="88">
        <v>46224.0</v>
      </c>
      <c r="O39" s="90" t="s">
        <v>28</v>
      </c>
      <c r="P39" s="98" t="s">
        <v>230</v>
      </c>
    </row>
    <row r="40" ht="15.75" customHeight="1">
      <c r="A40" s="87">
        <v>38.0</v>
      </c>
      <c r="B40" s="88">
        <v>46118.0</v>
      </c>
      <c r="C40" s="89" t="s">
        <v>151</v>
      </c>
      <c r="D40" s="89" t="s">
        <v>231</v>
      </c>
      <c r="E40" s="89" t="s">
        <v>232</v>
      </c>
      <c r="F40" s="87" t="s">
        <v>97</v>
      </c>
      <c r="G40" s="90" t="s">
        <v>9</v>
      </c>
      <c r="H40" s="90" t="s">
        <v>4</v>
      </c>
      <c r="I40" s="91">
        <v>3.0</v>
      </c>
      <c r="J40" s="91">
        <v>4.0</v>
      </c>
      <c r="K40" s="92" t="s">
        <v>4</v>
      </c>
      <c r="L40" s="93" t="s">
        <v>233</v>
      </c>
      <c r="M40" s="94" t="s">
        <v>74</v>
      </c>
      <c r="N40" s="88">
        <v>46224.0</v>
      </c>
      <c r="O40" s="90" t="s">
        <v>28</v>
      </c>
      <c r="P40" s="98" t="s">
        <v>234</v>
      </c>
    </row>
    <row r="41" ht="15.75" customHeight="1">
      <c r="A41" s="87">
        <v>39.0</v>
      </c>
      <c r="B41" s="88">
        <v>46118.0</v>
      </c>
      <c r="C41" s="89" t="s">
        <v>76</v>
      </c>
      <c r="D41" s="89" t="s">
        <v>235</v>
      </c>
      <c r="E41" s="89" t="s">
        <v>236</v>
      </c>
      <c r="F41" s="87" t="s">
        <v>79</v>
      </c>
      <c r="G41" s="90" t="s">
        <v>11</v>
      </c>
      <c r="H41" s="90" t="s">
        <v>9</v>
      </c>
      <c r="I41" s="91">
        <v>2.0</v>
      </c>
      <c r="J41" s="91">
        <v>3.0</v>
      </c>
      <c r="K41" s="92" t="s">
        <v>11</v>
      </c>
      <c r="L41" s="93" t="s">
        <v>237</v>
      </c>
      <c r="M41" s="94" t="s">
        <v>121</v>
      </c>
      <c r="N41" s="88">
        <v>46224.0</v>
      </c>
      <c r="O41" s="90" t="s">
        <v>28</v>
      </c>
      <c r="P41" s="98" t="s">
        <v>238</v>
      </c>
    </row>
    <row r="42" ht="15.75" customHeight="1">
      <c r="A42" s="87">
        <v>40.0</v>
      </c>
      <c r="B42" s="88">
        <v>46118.0</v>
      </c>
      <c r="C42" s="89" t="s">
        <v>69</v>
      </c>
      <c r="D42" s="89" t="s">
        <v>239</v>
      </c>
      <c r="E42" s="89" t="s">
        <v>240</v>
      </c>
      <c r="F42" s="87" t="s">
        <v>97</v>
      </c>
      <c r="G42" s="90" t="s">
        <v>9</v>
      </c>
      <c r="H42" s="90" t="s">
        <v>4</v>
      </c>
      <c r="I42" s="91">
        <v>3.0</v>
      </c>
      <c r="J42" s="91">
        <v>4.0</v>
      </c>
      <c r="K42" s="92" t="s">
        <v>4</v>
      </c>
      <c r="L42" s="93" t="s">
        <v>241</v>
      </c>
      <c r="M42" s="94" t="s">
        <v>74</v>
      </c>
      <c r="N42" s="88">
        <v>46224.0</v>
      </c>
      <c r="O42" s="90" t="s">
        <v>28</v>
      </c>
      <c r="P42" s="98" t="s">
        <v>242</v>
      </c>
    </row>
    <row r="43" ht="15.75" customHeight="1">
      <c r="A43" s="87">
        <v>41.0</v>
      </c>
      <c r="B43" s="88">
        <v>46118.0</v>
      </c>
      <c r="C43" s="89" t="s">
        <v>69</v>
      </c>
      <c r="D43" s="89" t="s">
        <v>243</v>
      </c>
      <c r="E43" s="89" t="s">
        <v>244</v>
      </c>
      <c r="F43" s="87" t="s">
        <v>97</v>
      </c>
      <c r="G43" s="90" t="s">
        <v>9</v>
      </c>
      <c r="H43" s="90" t="s">
        <v>4</v>
      </c>
      <c r="I43" s="91">
        <v>3.0</v>
      </c>
      <c r="J43" s="91">
        <v>4.0</v>
      </c>
      <c r="K43" s="92" t="s">
        <v>4</v>
      </c>
      <c r="L43" s="93" t="s">
        <v>245</v>
      </c>
      <c r="M43" s="93" t="s">
        <v>74</v>
      </c>
      <c r="N43" s="88">
        <v>46224.0</v>
      </c>
      <c r="O43" s="90" t="s">
        <v>28</v>
      </c>
      <c r="P43" s="98" t="s">
        <v>246</v>
      </c>
    </row>
    <row r="44" ht="15.75" customHeight="1">
      <c r="A44" s="87">
        <v>42.0</v>
      </c>
      <c r="B44" s="88">
        <v>46118.0</v>
      </c>
      <c r="C44" s="89" t="s">
        <v>151</v>
      </c>
      <c r="D44" s="89" t="s">
        <v>247</v>
      </c>
      <c r="E44" s="89" t="s">
        <v>248</v>
      </c>
      <c r="F44" s="87" t="s">
        <v>97</v>
      </c>
      <c r="G44" s="90" t="s">
        <v>9</v>
      </c>
      <c r="H44" s="90" t="s">
        <v>4</v>
      </c>
      <c r="I44" s="91">
        <v>3.0</v>
      </c>
      <c r="J44" s="91">
        <v>4.0</v>
      </c>
      <c r="K44" s="92" t="s">
        <v>4</v>
      </c>
      <c r="L44" s="93" t="s">
        <v>249</v>
      </c>
      <c r="M44" s="94" t="s">
        <v>74</v>
      </c>
      <c r="N44" s="88">
        <v>46224.0</v>
      </c>
      <c r="O44" s="90" t="s">
        <v>28</v>
      </c>
      <c r="P44" s="98" t="s">
        <v>250</v>
      </c>
    </row>
    <row r="45" ht="15.75" customHeight="1">
      <c r="A45" s="87">
        <v>43.0</v>
      </c>
      <c r="B45" s="88">
        <v>46118.0</v>
      </c>
      <c r="C45" s="89" t="s">
        <v>164</v>
      </c>
      <c r="D45" s="89" t="s">
        <v>251</v>
      </c>
      <c r="E45" s="89" t="s">
        <v>252</v>
      </c>
      <c r="F45" s="87" t="s">
        <v>79</v>
      </c>
      <c r="G45" s="90" t="s">
        <v>9</v>
      </c>
      <c r="H45" s="90" t="s">
        <v>4</v>
      </c>
      <c r="I45" s="91">
        <v>3.0</v>
      </c>
      <c r="J45" s="91">
        <v>4.0</v>
      </c>
      <c r="K45" s="92" t="s">
        <v>4</v>
      </c>
      <c r="L45" s="93" t="s">
        <v>253</v>
      </c>
      <c r="M45" s="94" t="s">
        <v>74</v>
      </c>
      <c r="N45" s="88">
        <v>46224.0</v>
      </c>
      <c r="O45" s="90" t="s">
        <v>28</v>
      </c>
      <c r="P45" s="98" t="s">
        <v>254</v>
      </c>
    </row>
    <row r="46" ht="15.75" customHeight="1">
      <c r="A46" s="87">
        <v>44.0</v>
      </c>
      <c r="B46" s="88">
        <v>46118.0</v>
      </c>
      <c r="C46" s="89" t="s">
        <v>181</v>
      </c>
      <c r="D46" s="89" t="s">
        <v>255</v>
      </c>
      <c r="E46" s="89" t="s">
        <v>256</v>
      </c>
      <c r="F46" s="87" t="s">
        <v>184</v>
      </c>
      <c r="G46" s="90" t="s">
        <v>9</v>
      </c>
      <c r="H46" s="90" t="s">
        <v>4</v>
      </c>
      <c r="I46" s="91">
        <v>3.0</v>
      </c>
      <c r="J46" s="91">
        <v>4.0</v>
      </c>
      <c r="K46" s="92" t="s">
        <v>4</v>
      </c>
      <c r="L46" s="93" t="s">
        <v>257</v>
      </c>
      <c r="M46" s="94" t="s">
        <v>104</v>
      </c>
      <c r="N46" s="88">
        <v>46224.0</v>
      </c>
      <c r="O46" s="90" t="s">
        <v>28</v>
      </c>
      <c r="P46" s="98" t="s">
        <v>258</v>
      </c>
    </row>
    <row r="47" ht="15.75" customHeight="1">
      <c r="A47" s="87">
        <v>45.0</v>
      </c>
      <c r="B47" s="88">
        <v>46118.0</v>
      </c>
      <c r="C47" s="89" t="s">
        <v>69</v>
      </c>
      <c r="D47" s="89" t="s">
        <v>259</v>
      </c>
      <c r="E47" s="89" t="s">
        <v>260</v>
      </c>
      <c r="F47" s="87" t="s">
        <v>97</v>
      </c>
      <c r="G47" s="90" t="s">
        <v>9</v>
      </c>
      <c r="H47" s="90" t="s">
        <v>9</v>
      </c>
      <c r="I47" s="91">
        <v>3.0</v>
      </c>
      <c r="J47" s="91">
        <v>3.0</v>
      </c>
      <c r="K47" s="92" t="s">
        <v>9</v>
      </c>
      <c r="L47" s="93" t="s">
        <v>261</v>
      </c>
      <c r="M47" s="93" t="s">
        <v>74</v>
      </c>
      <c r="N47" s="88">
        <v>46224.0</v>
      </c>
      <c r="O47" s="90" t="s">
        <v>28</v>
      </c>
      <c r="P47" s="98" t="s">
        <v>262</v>
      </c>
    </row>
    <row r="48" ht="15.75" customHeight="1">
      <c r="A48" s="87">
        <v>46.0</v>
      </c>
      <c r="B48" s="88">
        <v>46118.0</v>
      </c>
      <c r="C48" s="89" t="s">
        <v>76</v>
      </c>
      <c r="D48" s="89" t="s">
        <v>263</v>
      </c>
      <c r="E48" s="89" t="s">
        <v>264</v>
      </c>
      <c r="F48" s="87" t="s">
        <v>79</v>
      </c>
      <c r="G48" s="90" t="s">
        <v>9</v>
      </c>
      <c r="H48" s="90" t="s">
        <v>9</v>
      </c>
      <c r="I48" s="91">
        <v>3.0</v>
      </c>
      <c r="J48" s="91">
        <v>3.0</v>
      </c>
      <c r="K48" s="92" t="s">
        <v>9</v>
      </c>
      <c r="L48" s="93" t="s">
        <v>265</v>
      </c>
      <c r="M48" s="93" t="s">
        <v>74</v>
      </c>
      <c r="N48" s="88">
        <v>46224.0</v>
      </c>
      <c r="O48" s="90" t="s">
        <v>28</v>
      </c>
      <c r="P48" s="98" t="s">
        <v>266</v>
      </c>
    </row>
    <row r="49" ht="15.75" customHeight="1">
      <c r="A49" s="87">
        <v>47.0</v>
      </c>
      <c r="B49" s="88">
        <v>46118.0</v>
      </c>
      <c r="C49" s="89" t="s">
        <v>69</v>
      </c>
      <c r="D49" s="89" t="s">
        <v>267</v>
      </c>
      <c r="E49" s="89" t="s">
        <v>268</v>
      </c>
      <c r="F49" s="87" t="s">
        <v>97</v>
      </c>
      <c r="G49" s="90" t="s">
        <v>9</v>
      </c>
      <c r="H49" s="90" t="s">
        <v>4</v>
      </c>
      <c r="I49" s="91">
        <v>3.0</v>
      </c>
      <c r="J49" s="91">
        <v>4.0</v>
      </c>
      <c r="K49" s="92" t="s">
        <v>4</v>
      </c>
      <c r="L49" s="93" t="s">
        <v>269</v>
      </c>
      <c r="M49" s="93" t="s">
        <v>74</v>
      </c>
      <c r="N49" s="88">
        <v>46224.0</v>
      </c>
      <c r="O49" s="90" t="s">
        <v>28</v>
      </c>
      <c r="P49" s="98" t="s">
        <v>270</v>
      </c>
    </row>
    <row r="50" ht="15.75" customHeight="1">
      <c r="A50" s="87">
        <v>48.0</v>
      </c>
      <c r="B50" s="88">
        <v>46118.0</v>
      </c>
      <c r="C50" s="89" t="s">
        <v>151</v>
      </c>
      <c r="D50" s="89" t="s">
        <v>271</v>
      </c>
      <c r="E50" s="89" t="s">
        <v>272</v>
      </c>
      <c r="F50" s="87" t="s">
        <v>97</v>
      </c>
      <c r="G50" s="90" t="s">
        <v>9</v>
      </c>
      <c r="H50" s="90" t="s">
        <v>4</v>
      </c>
      <c r="I50" s="91">
        <v>3.0</v>
      </c>
      <c r="J50" s="91">
        <v>4.0</v>
      </c>
      <c r="K50" s="92" t="s">
        <v>4</v>
      </c>
      <c r="L50" s="93" t="s">
        <v>273</v>
      </c>
      <c r="M50" s="93" t="s">
        <v>74</v>
      </c>
      <c r="N50" s="88">
        <v>46224.0</v>
      </c>
      <c r="O50" s="90" t="s">
        <v>16</v>
      </c>
      <c r="P50" s="98" t="s">
        <v>274</v>
      </c>
    </row>
    <row r="51" ht="15.75" customHeight="1">
      <c r="A51" s="87">
        <v>49.0</v>
      </c>
      <c r="B51" s="88">
        <v>46118.0</v>
      </c>
      <c r="C51" s="89" t="s">
        <v>164</v>
      </c>
      <c r="D51" s="89" t="s">
        <v>275</v>
      </c>
      <c r="E51" s="89" t="s">
        <v>276</v>
      </c>
      <c r="F51" s="87" t="s">
        <v>79</v>
      </c>
      <c r="G51" s="90" t="s">
        <v>9</v>
      </c>
      <c r="H51" s="90" t="s">
        <v>9</v>
      </c>
      <c r="I51" s="91">
        <v>3.0</v>
      </c>
      <c r="J51" s="91">
        <v>3.0</v>
      </c>
      <c r="K51" s="92" t="s">
        <v>9</v>
      </c>
      <c r="L51" s="93" t="s">
        <v>277</v>
      </c>
      <c r="M51" s="93" t="s">
        <v>121</v>
      </c>
      <c r="N51" s="88">
        <v>46224.0</v>
      </c>
      <c r="O51" s="90" t="s">
        <v>16</v>
      </c>
      <c r="P51" s="98" t="s">
        <v>278</v>
      </c>
    </row>
    <row r="52" ht="15.75" customHeight="1">
      <c r="A52" s="87">
        <v>50.0</v>
      </c>
      <c r="B52" s="88">
        <v>46118.0</v>
      </c>
      <c r="C52" s="89" t="s">
        <v>69</v>
      </c>
      <c r="D52" s="89" t="s">
        <v>279</v>
      </c>
      <c r="E52" s="89" t="s">
        <v>280</v>
      </c>
      <c r="F52" s="87" t="s">
        <v>97</v>
      </c>
      <c r="G52" s="90" t="s">
        <v>9</v>
      </c>
      <c r="H52" s="90" t="s">
        <v>4</v>
      </c>
      <c r="I52" s="91">
        <v>3.0</v>
      </c>
      <c r="J52" s="91">
        <v>4.0</v>
      </c>
      <c r="K52" s="92" t="s">
        <v>4</v>
      </c>
      <c r="L52" s="93" t="s">
        <v>281</v>
      </c>
      <c r="M52" s="93" t="s">
        <v>74</v>
      </c>
      <c r="N52" s="88">
        <v>46224.0</v>
      </c>
      <c r="O52" s="90" t="s">
        <v>16</v>
      </c>
      <c r="P52" s="93" t="s">
        <v>282</v>
      </c>
    </row>
    <row r="53" ht="15.75" customHeight="1">
      <c r="A53" s="99"/>
      <c r="B53" s="97"/>
      <c r="C53" s="100"/>
      <c r="D53" s="100"/>
      <c r="E53" s="100"/>
      <c r="F53" s="99"/>
      <c r="G53" s="101"/>
      <c r="H53" s="101"/>
      <c r="I53" s="102"/>
      <c r="J53" s="102"/>
      <c r="K53" s="103"/>
      <c r="L53" s="104"/>
      <c r="M53" s="104"/>
      <c r="N53" s="88"/>
      <c r="O53" s="101"/>
      <c r="P53" s="105"/>
    </row>
    <row r="54" ht="15.75" customHeight="1">
      <c r="A54" s="99"/>
      <c r="B54" s="97"/>
      <c r="C54" s="100"/>
      <c r="D54" s="100"/>
      <c r="E54" s="100"/>
      <c r="F54" s="99"/>
      <c r="G54" s="101"/>
      <c r="H54" s="101"/>
      <c r="I54" s="102"/>
      <c r="J54" s="102"/>
      <c r="K54" s="103"/>
      <c r="L54" s="104"/>
      <c r="M54" s="104"/>
      <c r="N54" s="88"/>
      <c r="O54" s="101"/>
      <c r="P54" s="105"/>
    </row>
    <row r="55" ht="15.75" hidden="1" customHeight="1">
      <c r="A55" s="106"/>
      <c r="B55" s="107"/>
      <c r="C55" s="108"/>
      <c r="D55" s="108"/>
      <c r="E55" s="108"/>
      <c r="F55" s="106"/>
      <c r="G55" s="109"/>
      <c r="H55" s="109"/>
      <c r="I55" s="110"/>
      <c r="J55" s="110"/>
      <c r="K55" s="111"/>
      <c r="L55" s="112"/>
      <c r="M55" s="113"/>
      <c r="N55" s="107"/>
      <c r="O55" s="109"/>
      <c r="P55" s="114"/>
    </row>
    <row r="56" ht="15.75" hidden="1" customHeight="1">
      <c r="A56" s="106"/>
      <c r="B56" s="107"/>
      <c r="C56" s="108"/>
      <c r="D56" s="108"/>
      <c r="E56" s="97">
        <v>45968.0</v>
      </c>
      <c r="F56" s="115"/>
      <c r="I56" s="110"/>
      <c r="J56" s="110"/>
      <c r="K56" s="116"/>
      <c r="L56" s="1"/>
      <c r="M56" s="1"/>
      <c r="N56" s="1"/>
      <c r="O56" s="114"/>
      <c r="P56" s="117"/>
      <c r="Q56" s="97">
        <v>45896.0</v>
      </c>
      <c r="S56" s="105"/>
    </row>
    <row r="57" ht="15.75" hidden="1" customHeight="1">
      <c r="A57" s="106"/>
      <c r="B57" s="107"/>
      <c r="C57" s="108"/>
      <c r="D57" s="108"/>
      <c r="E57" s="97">
        <v>45968.0</v>
      </c>
      <c r="F57" s="115"/>
      <c r="I57" s="110"/>
      <c r="J57" s="110"/>
      <c r="K57" s="116"/>
      <c r="L57" s="1"/>
      <c r="M57" s="1"/>
      <c r="N57" s="1"/>
      <c r="O57" s="114"/>
      <c r="P57" s="117"/>
      <c r="Q57" s="97">
        <v>45897.0</v>
      </c>
      <c r="S57" s="105"/>
    </row>
    <row r="58" ht="15.75" hidden="1" customHeight="1">
      <c r="A58" s="106"/>
      <c r="B58" s="107"/>
      <c r="C58" s="108"/>
      <c r="D58" s="108"/>
      <c r="E58" s="97">
        <v>45968.0</v>
      </c>
      <c r="F58" s="115"/>
      <c r="I58" s="110"/>
      <c r="J58" s="110"/>
      <c r="K58" s="116"/>
      <c r="L58" s="1"/>
      <c r="M58" s="1"/>
      <c r="N58" s="1"/>
      <c r="O58" s="114"/>
      <c r="P58" s="117"/>
      <c r="Q58" s="97">
        <v>45898.0</v>
      </c>
      <c r="S58" s="105"/>
    </row>
    <row r="59" ht="15.75" hidden="1" customHeight="1">
      <c r="A59" s="106"/>
      <c r="B59" s="107"/>
      <c r="C59" s="108"/>
      <c r="D59" s="108"/>
      <c r="E59" s="97">
        <v>45968.0</v>
      </c>
      <c r="F59" s="118" t="s">
        <v>69</v>
      </c>
      <c r="I59" s="102" t="s">
        <v>184</v>
      </c>
      <c r="J59" s="119" t="s">
        <v>98</v>
      </c>
      <c r="K59" s="120" t="s">
        <v>98</v>
      </c>
      <c r="L59" s="1"/>
      <c r="M59" s="1"/>
      <c r="N59" s="1"/>
      <c r="O59" s="114"/>
      <c r="P59" s="117"/>
      <c r="Q59" s="97">
        <v>45899.0</v>
      </c>
      <c r="R59" s="120" t="s">
        <v>28</v>
      </c>
      <c r="S59" s="105"/>
    </row>
    <row r="60" ht="15.75" hidden="1" customHeight="1">
      <c r="A60" s="106"/>
      <c r="B60" s="107"/>
      <c r="C60" s="108"/>
      <c r="D60" s="108"/>
      <c r="E60" s="97">
        <v>45968.0</v>
      </c>
      <c r="F60" s="118" t="s">
        <v>151</v>
      </c>
      <c r="I60" s="102" t="s">
        <v>79</v>
      </c>
      <c r="J60" s="119" t="s">
        <v>4</v>
      </c>
      <c r="K60" s="120" t="s">
        <v>4</v>
      </c>
      <c r="L60" s="1"/>
      <c r="M60" s="1"/>
      <c r="N60" s="1"/>
      <c r="O60" s="114"/>
      <c r="P60" s="117"/>
      <c r="Q60" s="97">
        <v>45900.0</v>
      </c>
      <c r="R60" s="120" t="s">
        <v>16</v>
      </c>
      <c r="S60" s="105"/>
    </row>
    <row r="61" ht="15.75" hidden="1" customHeight="1">
      <c r="A61" s="106"/>
      <c r="B61" s="107"/>
      <c r="C61" s="108"/>
      <c r="D61" s="108"/>
      <c r="E61" s="97">
        <v>45968.0</v>
      </c>
      <c r="F61" s="121" t="s">
        <v>76</v>
      </c>
      <c r="I61" s="102" t="s">
        <v>72</v>
      </c>
      <c r="J61" s="119" t="s">
        <v>9</v>
      </c>
      <c r="K61" s="120" t="s">
        <v>9</v>
      </c>
      <c r="L61" s="1"/>
      <c r="M61" s="1"/>
      <c r="N61" s="1"/>
      <c r="O61" s="114"/>
      <c r="P61" s="117"/>
      <c r="Q61" s="97">
        <v>45901.0</v>
      </c>
      <c r="R61" s="120" t="s">
        <v>17</v>
      </c>
      <c r="S61" s="105"/>
    </row>
    <row r="62" ht="15.75" hidden="1" customHeight="1">
      <c r="A62" s="106"/>
      <c r="B62" s="107"/>
      <c r="C62" s="108"/>
      <c r="D62" s="108"/>
      <c r="E62" s="97">
        <v>45968.0</v>
      </c>
      <c r="F62" s="118" t="s">
        <v>164</v>
      </c>
      <c r="I62" s="102" t="s">
        <v>97</v>
      </c>
      <c r="J62" s="119" t="s">
        <v>11</v>
      </c>
      <c r="K62" s="120" t="s">
        <v>11</v>
      </c>
      <c r="L62" s="1"/>
      <c r="M62" s="1"/>
      <c r="N62" s="1"/>
      <c r="O62" s="114"/>
      <c r="P62" s="117"/>
      <c r="Q62" s="97">
        <v>45902.0</v>
      </c>
      <c r="R62" s="120" t="s">
        <v>18</v>
      </c>
      <c r="S62" s="105"/>
    </row>
    <row r="63" ht="15.75" hidden="1" customHeight="1">
      <c r="A63" s="106"/>
      <c r="B63" s="107"/>
      <c r="C63" s="108"/>
      <c r="D63" s="108"/>
      <c r="E63" s="97">
        <v>45968.0</v>
      </c>
      <c r="F63" s="118" t="s">
        <v>181</v>
      </c>
      <c r="I63" s="110"/>
      <c r="J63" s="119" t="s">
        <v>283</v>
      </c>
      <c r="K63" s="120" t="s">
        <v>283</v>
      </c>
      <c r="L63" s="1"/>
      <c r="M63" s="1"/>
      <c r="N63" s="1"/>
      <c r="O63" s="114"/>
      <c r="P63" s="117"/>
      <c r="Q63" s="97">
        <v>45903.0</v>
      </c>
      <c r="S63" s="105"/>
    </row>
    <row r="64" ht="15.75" hidden="1" customHeight="1">
      <c r="A64" s="106"/>
      <c r="B64" s="107"/>
      <c r="C64" s="108"/>
      <c r="D64" s="108"/>
      <c r="E64" s="97">
        <v>45968.0</v>
      </c>
      <c r="F64" s="121" t="s">
        <v>90</v>
      </c>
      <c r="I64" s="110"/>
      <c r="J64" s="110"/>
      <c r="K64" s="116"/>
      <c r="L64" s="1"/>
      <c r="M64" s="1"/>
      <c r="N64" s="1"/>
      <c r="O64" s="114"/>
      <c r="P64" s="117"/>
      <c r="Q64" s="97">
        <v>45904.0</v>
      </c>
      <c r="S64" s="105"/>
    </row>
    <row r="65" ht="15.75" hidden="1" customHeight="1">
      <c r="A65" s="106"/>
      <c r="B65" s="107"/>
      <c r="C65" s="108"/>
      <c r="D65" s="108"/>
      <c r="E65" s="97">
        <v>45968.0</v>
      </c>
      <c r="F65" s="115"/>
      <c r="I65" s="110"/>
      <c r="J65" s="110"/>
      <c r="K65" s="116"/>
      <c r="L65" s="1"/>
      <c r="M65" s="1"/>
      <c r="N65" s="1"/>
      <c r="O65" s="114"/>
      <c r="P65" s="117"/>
      <c r="Q65" s="97">
        <v>45905.0</v>
      </c>
      <c r="S65" s="105"/>
    </row>
  </sheetData>
  <mergeCells count="1">
    <mergeCell ref="A1:P1"/>
  </mergeCells>
  <conditionalFormatting sqref="K3:K7">
    <cfRule type="cellIs" dxfId="0" priority="1" operator="equal">
      <formula>"Medio"</formula>
    </cfRule>
  </conditionalFormatting>
  <conditionalFormatting sqref="K3:K7">
    <cfRule type="cellIs" dxfId="1" priority="2" operator="equal">
      <formula>"Alto"</formula>
    </cfRule>
  </conditionalFormatting>
  <conditionalFormatting sqref="K3:K7">
    <cfRule type="cellIs" dxfId="2" priority="3" operator="equal">
      <formula>"Muy Alto"</formula>
    </cfRule>
  </conditionalFormatting>
  <conditionalFormatting sqref="K3:K7">
    <cfRule type="cellIs" dxfId="3" priority="4" operator="equal">
      <formula>"Bajo "</formula>
    </cfRule>
  </conditionalFormatting>
  <conditionalFormatting sqref="K3:K7">
    <cfRule type="expression" dxfId="4" priority="5">
      <formula>"Muy Alto"</formula>
    </cfRule>
  </conditionalFormatting>
  <conditionalFormatting sqref="K3:K7">
    <cfRule type="cellIs" dxfId="5" priority="6" operator="equal">
      <formula>"Alto"</formula>
    </cfRule>
  </conditionalFormatting>
  <conditionalFormatting sqref="K3:K7">
    <cfRule type="containsText" dxfId="6" priority="7" operator="containsText" text="Muy Alto">
      <formula>NOT(ISERROR(SEARCH(("Muy Alto"),(K3))))</formula>
    </cfRule>
  </conditionalFormatting>
  <conditionalFormatting sqref="K3:K7">
    <cfRule type="cellIs" dxfId="7" priority="8" operator="equal">
      <formula>"Medio"</formula>
    </cfRule>
  </conditionalFormatting>
  <conditionalFormatting sqref="K3:K7">
    <cfRule type="cellIs" dxfId="3" priority="9" operator="equal">
      <formula>"Bajo"</formula>
    </cfRule>
  </conditionalFormatting>
  <conditionalFormatting sqref="K3:K7">
    <cfRule type="cellIs" dxfId="8" priority="10" operator="equal">
      <formula>"Bajo"</formula>
    </cfRule>
  </conditionalFormatting>
  <conditionalFormatting sqref="K3:K7">
    <cfRule type="cellIs" dxfId="0" priority="11" operator="equal">
      <formula>"Medio"</formula>
    </cfRule>
  </conditionalFormatting>
  <conditionalFormatting sqref="K3:K7">
    <cfRule type="cellIs" dxfId="1" priority="12" operator="equal">
      <formula>"Alto"</formula>
    </cfRule>
  </conditionalFormatting>
  <conditionalFormatting sqref="K3:K7">
    <cfRule type="cellIs" dxfId="2" priority="13" operator="equal">
      <formula>"Muy Alto"</formula>
    </cfRule>
  </conditionalFormatting>
  <conditionalFormatting sqref="F5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5">
    <cfRule type="colorScale" priority="1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5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5">
    <cfRule type="colorScale" priority="17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5">
    <cfRule type="colorScale" priority="18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6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6">
    <cfRule type="colorScale" priority="20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6"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6">
    <cfRule type="colorScale" priority="2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6">
    <cfRule type="colorScale" priority="23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7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7">
    <cfRule type="colorScale" priority="2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7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7">
    <cfRule type="colorScale" priority="27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7">
    <cfRule type="colorScale" priority="28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3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3">
    <cfRule type="colorScale" priority="30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3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3">
    <cfRule type="colorScale" priority="3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3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3">
    <cfRule type="colorScale" priority="34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3">
    <cfRule type="colorScale" priority="3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4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4">
    <cfRule type="colorScale" priority="37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4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4">
    <cfRule type="colorScale" priority="39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4">
    <cfRule type="colorScale" priority="40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8:K55">
    <cfRule type="cellIs" dxfId="0" priority="41" operator="equal">
      <formula>"Medio"</formula>
    </cfRule>
  </conditionalFormatting>
  <conditionalFormatting sqref="K8:K55">
    <cfRule type="cellIs" dxfId="1" priority="42" operator="equal">
      <formula>"Alto"</formula>
    </cfRule>
  </conditionalFormatting>
  <conditionalFormatting sqref="K8:K55">
    <cfRule type="cellIs" dxfId="2" priority="43" operator="equal">
      <formula>"Muy Alto"</formula>
    </cfRule>
  </conditionalFormatting>
  <conditionalFormatting sqref="K8:K55">
    <cfRule type="cellIs" dxfId="3" priority="44" operator="equal">
      <formula>"Bajo "</formula>
    </cfRule>
  </conditionalFormatting>
  <conditionalFormatting sqref="K8:K55">
    <cfRule type="expression" dxfId="4" priority="45">
      <formula>"Muy Alto"</formula>
    </cfRule>
  </conditionalFormatting>
  <conditionalFormatting sqref="K8:K55">
    <cfRule type="cellIs" dxfId="5" priority="46" operator="equal">
      <formula>"Alto"</formula>
    </cfRule>
  </conditionalFormatting>
  <conditionalFormatting sqref="K8:K55">
    <cfRule type="containsText" dxfId="6" priority="47" operator="containsText" text="Muy Alto">
      <formula>NOT(ISERROR(SEARCH(("Muy Alto"),(K8))))</formula>
    </cfRule>
  </conditionalFormatting>
  <conditionalFormatting sqref="K8:K55">
    <cfRule type="cellIs" dxfId="7" priority="48" operator="equal">
      <formula>"Medio"</formula>
    </cfRule>
  </conditionalFormatting>
  <conditionalFormatting sqref="K8:K55">
    <cfRule type="cellIs" dxfId="3" priority="49" operator="equal">
      <formula>"Bajo"</formula>
    </cfRule>
  </conditionalFormatting>
  <conditionalFormatting sqref="K8:K55">
    <cfRule type="cellIs" dxfId="8" priority="50" operator="equal">
      <formula>"Bajo"</formula>
    </cfRule>
  </conditionalFormatting>
  <conditionalFormatting sqref="K8:K55">
    <cfRule type="cellIs" dxfId="0" priority="51" operator="equal">
      <formula>"Medio"</formula>
    </cfRule>
  </conditionalFormatting>
  <conditionalFormatting sqref="K8:K55">
    <cfRule type="cellIs" dxfId="1" priority="52" operator="equal">
      <formula>"Alto"</formula>
    </cfRule>
  </conditionalFormatting>
  <conditionalFormatting sqref="K8:K55">
    <cfRule type="cellIs" dxfId="2" priority="53" operator="equal">
      <formula>"Muy Alto"</formula>
    </cfRule>
  </conditionalFormatting>
  <conditionalFormatting sqref="F8:F55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8:K55">
    <cfRule type="colorScale" priority="5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8:H55">
    <cfRule type="colorScale" priority="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8:H55">
    <cfRule type="colorScale" priority="57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8:K55">
    <cfRule type="colorScale" priority="58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dataValidations>
    <dataValidation type="list" allowBlank="1" showErrorMessage="1" sqref="C3:C17 C19:C65">
      <formula1>"Calendario,Alcanse,Tecnico,Calidad,Operacional,Costos,Regulatorio,Legal,Entorno/Externo,Costo/Financiero,Requisitos,Seguridad,Integracion,Comunicacion,Infraestructura,Gestion,Equipo de Trabajo,Clientes y Stakeholders,Técnico"</formula1>
    </dataValidation>
    <dataValidation type="list" allowBlank="1" showErrorMessage="1" sqref="G3:G55">
      <formula1>$J$59:$J$63</formula1>
    </dataValidation>
    <dataValidation type="list" allowBlank="1" showErrorMessage="1" sqref="O3:O55">
      <formula1>$R$59:$R$62</formula1>
    </dataValidation>
    <dataValidation type="list" allowBlank="1" showErrorMessage="1" sqref="C18">
      <formula1>"Calendario,Alcance,Tecnico,Calidad,Costos,Legal,Entorno/Externo,Requisitos,Seguridad,Integracion,Infraestructura,Gestion,Equipo de Trabajo,Clientes y Stakeholders,Técnico"</formula1>
    </dataValidation>
    <dataValidation type="list" allowBlank="1" showErrorMessage="1" sqref="H3:H55">
      <formula1>$K$59:$K$63</formula1>
    </dataValidation>
    <dataValidation type="list" allowBlank="1" showErrorMessage="1" sqref="F3:F55">
      <formula1>$I$59:$I$62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22" t="s">
        <v>8</v>
      </c>
      <c r="E4" s="123"/>
      <c r="F4" s="123"/>
      <c r="G4" s="123"/>
      <c r="H4" s="3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24" t="s">
        <v>7</v>
      </c>
      <c r="D5" s="125" t="s">
        <v>283</v>
      </c>
      <c r="E5" s="125" t="s">
        <v>11</v>
      </c>
      <c r="F5" s="125" t="s">
        <v>9</v>
      </c>
      <c r="G5" s="125" t="s">
        <v>4</v>
      </c>
      <c r="H5" s="125" t="s">
        <v>98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26" t="s">
        <v>98</v>
      </c>
      <c r="D6" s="127" t="s">
        <v>9</v>
      </c>
      <c r="E6" s="128" t="s">
        <v>4</v>
      </c>
      <c r="F6" s="128" t="s">
        <v>4</v>
      </c>
      <c r="G6" s="129" t="s">
        <v>98</v>
      </c>
      <c r="H6" s="129" t="s">
        <v>98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26" t="s">
        <v>4</v>
      </c>
      <c r="D7" s="127" t="s">
        <v>9</v>
      </c>
      <c r="E7" s="127" t="s">
        <v>9</v>
      </c>
      <c r="F7" s="128" t="s">
        <v>4</v>
      </c>
      <c r="G7" s="129" t="s">
        <v>98</v>
      </c>
      <c r="H7" s="129" t="s">
        <v>98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26" t="s">
        <v>9</v>
      </c>
      <c r="D8" s="130" t="s">
        <v>11</v>
      </c>
      <c r="E8" s="127" t="s">
        <v>9</v>
      </c>
      <c r="F8" s="128" t="s">
        <v>4</v>
      </c>
      <c r="G8" s="128" t="s">
        <v>4</v>
      </c>
      <c r="H8" s="129" t="s">
        <v>98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26" t="s">
        <v>11</v>
      </c>
      <c r="D9" s="130" t="s">
        <v>11</v>
      </c>
      <c r="E9" s="130" t="s">
        <v>11</v>
      </c>
      <c r="F9" s="127" t="s">
        <v>9</v>
      </c>
      <c r="G9" s="128" t="s">
        <v>4</v>
      </c>
      <c r="H9" s="128" t="s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26" t="s">
        <v>283</v>
      </c>
      <c r="D10" s="130" t="s">
        <v>11</v>
      </c>
      <c r="E10" s="130" t="s">
        <v>11</v>
      </c>
      <c r="F10" s="127" t="s">
        <v>9</v>
      </c>
      <c r="G10" s="127" t="s">
        <v>9</v>
      </c>
      <c r="H10" s="128" t="s">
        <v>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4">
      <c r="D4" s="122" t="s">
        <v>8</v>
      </c>
      <c r="E4" s="123"/>
      <c r="F4" s="123"/>
      <c r="G4" s="123"/>
      <c r="H4" s="32"/>
    </row>
    <row r="5">
      <c r="C5" s="124" t="s">
        <v>7</v>
      </c>
      <c r="D5" s="125" t="s">
        <v>283</v>
      </c>
      <c r="E5" s="125" t="s">
        <v>284</v>
      </c>
      <c r="F5" s="125" t="s">
        <v>9</v>
      </c>
      <c r="G5" s="125" t="s">
        <v>4</v>
      </c>
      <c r="H5" s="125" t="s">
        <v>98</v>
      </c>
    </row>
    <row r="6">
      <c r="C6" s="126" t="s">
        <v>98</v>
      </c>
      <c r="D6" s="127" t="s">
        <v>9</v>
      </c>
      <c r="E6" s="128" t="s">
        <v>4</v>
      </c>
      <c r="F6" s="128" t="s">
        <v>4</v>
      </c>
      <c r="G6" s="129" t="s">
        <v>98</v>
      </c>
      <c r="H6" s="129" t="s">
        <v>98</v>
      </c>
    </row>
    <row r="7">
      <c r="C7" s="126" t="s">
        <v>4</v>
      </c>
      <c r="D7" s="127" t="s">
        <v>9</v>
      </c>
      <c r="E7" s="127" t="s">
        <v>9</v>
      </c>
      <c r="F7" s="128" t="s">
        <v>4</v>
      </c>
      <c r="G7" s="129" t="s">
        <v>98</v>
      </c>
      <c r="H7" s="129" t="s">
        <v>98</v>
      </c>
    </row>
    <row r="8">
      <c r="C8" s="126" t="s">
        <v>9</v>
      </c>
      <c r="D8" s="130" t="s">
        <v>11</v>
      </c>
      <c r="E8" s="127" t="s">
        <v>9</v>
      </c>
      <c r="F8" s="128" t="s">
        <v>4</v>
      </c>
      <c r="G8" s="128" t="s">
        <v>4</v>
      </c>
      <c r="H8" s="129" t="s">
        <v>98</v>
      </c>
    </row>
    <row r="9">
      <c r="C9" s="126" t="s">
        <v>11</v>
      </c>
      <c r="D9" s="130" t="s">
        <v>11</v>
      </c>
      <c r="E9" s="130" t="s">
        <v>11</v>
      </c>
      <c r="F9" s="127" t="s">
        <v>9</v>
      </c>
      <c r="G9" s="128" t="s">
        <v>4</v>
      </c>
      <c r="H9" s="128" t="s">
        <v>4</v>
      </c>
    </row>
    <row r="10">
      <c r="C10" s="126" t="s">
        <v>283</v>
      </c>
      <c r="D10" s="130" t="s">
        <v>11</v>
      </c>
      <c r="E10" s="130" t="s">
        <v>11</v>
      </c>
      <c r="F10" s="127" t="s">
        <v>9</v>
      </c>
      <c r="G10" s="127" t="s">
        <v>9</v>
      </c>
      <c r="H10" s="128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2012-02-15T17:56:08Z</dcterms:created>
  <dc:creator>SNP</dc:creator>
</cp:coreProperties>
</file>